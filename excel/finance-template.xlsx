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控制台" sheetId="1" state="visible" r:id="rId1"/>
    <sheet name="经营统计" sheetId="2" state="visible" r:id="rId2"/>
    <sheet name="预算输入" sheetId="3" state="visible" r:id="rId3"/>
    <sheet name="预算对比" sheetId="4" state="visible" r:id="rId4"/>
    <sheet name="账龄输入" sheetId="5" state="visible" r:id="rId5"/>
    <sheet name="账龄统计" sheetId="6" state="visible" r:id="rId6"/>
    <sheet name="刷新信息" sheetId="7" state="visible" r:id="rId7"/>
    <sheet name="公司列表" sheetId="8" state="visible" r:id="rId8"/>
    <sheet name="利润表" sheetId="9" state="visible" r:id="rId9"/>
    <sheet name="资产负债表" sheetId="10" state="visible" r:id="rId10"/>
    <sheet name="现金流量表" sheetId="11" state="visible" r:id="rId11"/>
    <sheet name="科目余额" sheetId="12" state="visible" r:id="rId12"/>
    <sheet name="凭证明细" sheetId="13" state="visible" r:id="rId13"/>
    <sheet name="出纳账" sheetId="14" state="visible" r:id="rId14"/>
    <sheet name="往来余额" sheetId="15" state="visible" r:id="rId15"/>
    <sheet name="月度趋势" sheetId="16" state="visible" r:id="rId16"/>
    <sheet name="使用说明" sheetId="17" state="visible" r:id="rId1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&quot;—&quot;"/>
    <numFmt numFmtId="165" formatCode="yyyy-mm-dd"/>
    <numFmt numFmtId="166" formatCode="yyyy-mm-dd hh:mm:ss"/>
    <numFmt numFmtId="167" formatCode="0.0%"/>
  </numFmts>
  <fonts count="6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8"/>
    </font>
    <font>
      <name val="Arial"/>
      <b val="1"/>
      <color rgb="00FFFFFF"/>
      <sz val="11"/>
    </font>
    <font>
      <name val="Arial"/>
      <color rgb="000000FF"/>
      <sz val="11"/>
    </font>
    <font>
      <name val="Calibri"/>
      <family val="2"/>
      <color rgb="000000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263D56"/>
      </patternFill>
    </fill>
    <fill>
      <patternFill patternType="solid">
        <fgColor rgb="00FFF2CC"/>
      </patternFill>
    </fill>
    <fill>
      <patternFill patternType="solid">
        <fgColor rgb="00FFF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9" fontId="4" fillId="3" borderId="0" pivotButton="0" quotePrefix="0" xfId="0"/>
    <xf numFmtId="166" fontId="1" fillId="0" borderId="0" pivotButton="0" quotePrefix="0" xfId="0"/>
    <xf numFmtId="0" fontId="3" fillId="2" borderId="0" pivotButton="0" quotePrefix="0" xfId="0"/>
    <xf numFmtId="164" fontId="1" fillId="0" borderId="0" pivotButton="0" quotePrefix="0" xfId="0"/>
    <xf numFmtId="49" fontId="2" fillId="0" borderId="0" pivotButton="0" quotePrefix="0" xfId="0"/>
    <xf numFmtId="49" fontId="1" fillId="0" borderId="0" pivotButton="0" quotePrefix="0" xfId="0"/>
    <xf numFmtId="49" fontId="3" fillId="2" borderId="0" pivotButton="0" quotePrefix="0" xfId="0"/>
    <xf numFmtId="49" fontId="4" fillId="4" borderId="0" pivotButton="0" quotePrefix="0" xfId="0"/>
    <xf numFmtId="0" fontId="4" fillId="4" borderId="0" pivotButton="0" quotePrefix="0" xfId="0"/>
    <xf numFmtId="164" fontId="4" fillId="4" borderId="0" pivotButton="0" quotePrefix="0" xfId="0"/>
    <xf numFmtId="49" fontId="5" fillId="4" borderId="0" pivotButton="0" quotePrefix="0" xfId="0"/>
    <xf numFmtId="0" fontId="5" fillId="4" borderId="0" pivotButton="0" quotePrefix="0" xfId="0"/>
    <xf numFmtId="164" fontId="5" fillId="4" borderId="0" pivotButton="0" quotePrefix="0" xfId="0"/>
    <xf numFmtId="49" fontId="0" fillId="0" borderId="0" pivotButton="0" quotePrefix="0" xfId="0"/>
    <xf numFmtId="167" fontId="1" fillId="0" borderId="0" pivotButton="0" quotePrefix="0" xfId="0"/>
    <xf numFmtId="165" fontId="4" fillId="4" borderId="0" pivotButton="0" quotePrefix="0" xfId="0"/>
    <xf numFmtId="165" fontId="5" fillId="4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营业收入与成本（元）</a:t>
            </a:r>
          </a:p>
        </rich>
      </tx>
    </title>
    <plotArea>
      <lineChart>
        <grouping val="standard"/>
        <ser>
          <idx val="0"/>
          <order val="0"/>
          <tx>
            <strRef>
              <f>'经营统计'!B15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'经营统计'!$A$16:$A$27</f>
            </numRef>
          </cat>
          <val>
            <numRef>
              <f>'经营统计'!$B$16:$B$27</f>
            </numRef>
          </val>
        </ser>
        <ser>
          <idx val="1"/>
          <order val="1"/>
          <tx>
            <strRef>
              <f>'经营统计'!C15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'经营统计'!$A$16:$A$27</f>
            </numRef>
          </cat>
          <val>
            <numRef>
              <f>'经营统计'!$C$16:$C$27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3</row>
      <rowOff>0</rowOff>
    </from>
    <to>
      <col>14</col>
      <colOff>0</colOff>
      <row>19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财务管理工作簿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选择公司和月份后点击刷新；金额默认人民币元。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3" customHeight="1">
      <c r="A4" s="2" t="inlineStr">
        <is>
          <t>公司编号</t>
        </is>
      </c>
      <c r="B4" s="3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2" t="inlineStr">
        <is>
          <t>月份</t>
        </is>
      </c>
      <c r="B5" s="3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inlineStr">
        <is>
          <t>数据状态</t>
        </is>
      </c>
      <c r="B6" s="2">
        <f>IF(OR(B4="",B5=""),"请填写公司编号和月份",IF(AND(B4='刷新信息'!B6,B5='刷新信息'!B8),"当前选择与数据一致","选择已变化，请刷新"))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inlineStr">
        <is>
          <t>刷新结果</t>
        </is>
      </c>
      <c r="B7" s="2" t="inlineStr">
        <is>
          <t>尚未读取数据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inlineStr">
        <is>
          <t>最近刷新（UTC）</t>
        </is>
      </c>
      <c r="B8" s="4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inlineStr">
        <is>
          <t>工作表</t>
        </is>
      </c>
      <c r="B11" s="2" t="inlineStr">
        <is>
          <t>用途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inlineStr">
        <is>
          <t>经营统计</t>
        </is>
      </c>
      <c r="B12" s="2" t="inlineStr">
        <is>
          <t>利润、现金收支、月度趋势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inlineStr">
        <is>
          <t>预算输入 / 预算对比</t>
        </is>
      </c>
      <c r="B13" s="2" t="inlineStr">
        <is>
          <t>按公司、月份、利润项目录入预算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inlineStr">
        <is>
          <t>账龄输入 / 账龄统计</t>
        </is>
      </c>
      <c r="B14" s="2" t="inlineStr">
        <is>
          <t>补充未核销单据；余额差额单列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inlineStr">
        <is>
          <t>出纳账</t>
        </is>
      </c>
      <c r="B15" s="2" t="inlineStr">
        <is>
          <t>总账现金及银行凭证明细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inlineStr">
        <is>
          <t>刷新信息</t>
        </is>
      </c>
      <c r="B16" s="2" t="inlineStr">
        <is>
          <t>数据身份、更新时间及原系统校验字段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inlineStr">
        <is>
          <t>使用说明</t>
        </is>
      </c>
      <c r="B17" s="2" t="inlineStr">
        <is>
          <t>一次性安装与口径说明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inlineStr">
        <is>
          <t>首次使用：在 Windows 运行安装脚本生成带刷新按钮的 .xlsm 文件。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inlineStr">
        <is>
          <t>黄色区域为人工输入；刷新不会覆盖预算和账龄输入。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经营统计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仅在选择与已刷新数据一致时显示；收支采用总账口径。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指标</t>
        </is>
      </c>
      <c r="B4" s="5" t="inlineStr">
        <is>
          <t>金额（元）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2" t="inlineStr">
        <is>
          <t>营业收入</t>
        </is>
      </c>
      <c r="B5" s="6">
        <f>IF(AND('控制台'!B4&lt;&gt;"",'控制台'!B5&lt;&gt;"",'控制台'!B4='刷新信息'!B6,'控制台'!B5='刷新信息'!B8),SUMIFS('利润表'!C5:C200,'利润表'!F5:F200,"营业收入"),"")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inlineStr">
        <is>
          <t>营业成本</t>
        </is>
      </c>
      <c r="B6" s="6">
        <f>IF(AND('控制台'!B4&lt;&gt;"",'控制台'!B5&lt;&gt;"",'控制台'!B4='刷新信息'!B6,'控制台'!B5='刷新信息'!B8),SUMIFS('利润表'!C5:C200,'利润表'!F5:F200,"营业成本"),"")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inlineStr">
        <is>
          <t>净利润</t>
        </is>
      </c>
      <c r="B7" s="6">
        <f>IF(AND('控制台'!B4&lt;&gt;"",'控制台'!B5&lt;&gt;"",'控制台'!B4='刷新信息'!B6,'控制台'!B5='刷新信息'!B8),SUMIFS('利润表'!C5:C200,'利润表'!F5:F200,"净利润"),"")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inlineStr">
        <is>
          <t>现金银行流入</t>
        </is>
      </c>
      <c r="B8" s="6">
        <f>IF(AND('控制台'!B4&lt;&gt;"",'控制台'!B5&lt;&gt;"",'控制台'!B4='刷新信息'!B6,'控制台'!B5='刷新信息'!B8),SUMIFS('出纳账'!I5:I6000,'出纳账'!M5:M6000,"&lt;&gt;内部划转"),"")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inlineStr">
        <is>
          <t>现金银行流出</t>
        </is>
      </c>
      <c r="B9" s="6">
        <f>IF(AND('控制台'!B4&lt;&gt;"",'控制台'!B5&lt;&gt;"",'控制台'!B4='刷新信息'!B6,'控制台'!B5='刷新信息'!B8),SUMIFS('出纳账'!J5:J6000,'出纳账'!M5:M6000,"&lt;&gt;内部划转"),"")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inlineStr">
        <is>
          <t>现金银行净流入</t>
        </is>
      </c>
      <c r="B10" s="6">
        <f>IF(AND('控制台'!B4&lt;&gt;"",'控制台'!B5&lt;&gt;"",'控制台'!B4='刷新信息'!B6,'控制台'!B5='刷新信息'!B8),B8-B9,"")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inlineStr">
        <is>
          <t>应收账款净额</t>
        </is>
      </c>
      <c r="B11" s="6">
        <f>IF(AND('控制台'!B4&lt;&gt;"",'控制台'!B5&lt;&gt;"",'控制台'!B4='刷新信息'!B6,'控制台'!B5='刷新信息'!B8),SUMIFS('往来余额'!I5:I6000,'往来余额'!A5:A6000,"应收")-SUMIFS('往来余额'!J5:J6000,'往来余额'!A5:A6000,"应收"),"")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inlineStr">
        <is>
          <t>应付账款净额</t>
        </is>
      </c>
      <c r="B12" s="6">
        <f>IF(AND('控制台'!B4&lt;&gt;"",'控制台'!B5&lt;&gt;"",'控制台'!B4='刷新信息'!B6,'控制台'!B5='刷新信息'!B8),SUMIFS('往来余额'!J5:J6000,'往来余额'!A5:A6000,"应付")-SUMIFS('往来余额'!I5:I6000,'往来余额'!A5:A6000,"应付"),"")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inlineStr">
        <is>
          <t>月份</t>
        </is>
      </c>
      <c r="B15" s="2" t="inlineStr">
        <is>
          <t>营业收入</t>
        </is>
      </c>
      <c r="C15" s="2" t="inlineStr">
        <is>
          <t>营业成本</t>
        </is>
      </c>
      <c r="D15" s="2" t="inlineStr">
        <is>
          <t>净利润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>
        <f>IF('控制台'!B5="","",LEFT('控制台'!B5,4)&amp;"-01")</f>
        <v/>
      </c>
      <c r="B16" s="6">
        <f>IF(AND(AND('控制台'!B4&lt;&gt;"",'控制台'!B5&lt;&gt;"",'控制台'!B4='刷新信息'!B6,'控制台'!B5='刷新信息'!B8),COUNTIF('月度趋势'!A5:A1000,A16)&gt;0),SUMIFS('月度趋势'!D5:D1000,'月度趋势'!A5:A1000,A16,'月度趋势'!E5:E1000,"营业收入"),"")</f>
        <v/>
      </c>
      <c r="C16" s="6">
        <f>IF(AND(AND('控制台'!B4&lt;&gt;"",'控制台'!B5&lt;&gt;"",'控制台'!B4='刷新信息'!B6,'控制台'!B5='刷新信息'!B8),COUNTIF('月度趋势'!A5:A1000,A16)&gt;0),SUMIFS('月度趋势'!D5:D1000,'月度趋势'!A5:A1000,A16,'月度趋势'!E5:E1000,"营业成本"),"")</f>
        <v/>
      </c>
      <c r="D16" s="6">
        <f>IF(AND(AND('控制台'!B4&lt;&gt;"",'控制台'!B5&lt;&gt;"",'控制台'!B4='刷新信息'!B6,'控制台'!B5='刷新信息'!B8),COUNTIF('月度趋势'!A5:A1000,A16)&gt;0),SUMIFS('月度趋势'!D5:D1000,'月度趋势'!A5:A1000,A16,'月度趋势'!E5:E1000,"净利润"),"")</f>
        <v/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>
        <f>IF('控制台'!B5="","",LEFT('控制台'!B5,4)&amp;"-02")</f>
        <v/>
      </c>
      <c r="B17" s="6">
        <f>IF(AND(AND('控制台'!B4&lt;&gt;"",'控制台'!B5&lt;&gt;"",'控制台'!B4='刷新信息'!B6,'控制台'!B5='刷新信息'!B8),COUNTIF('月度趋势'!A5:A1000,A17)&gt;0),SUMIFS('月度趋势'!D5:D1000,'月度趋势'!A5:A1000,A17,'月度趋势'!E5:E1000,"营业收入"),"")</f>
        <v/>
      </c>
      <c r="C17" s="6">
        <f>IF(AND(AND('控制台'!B4&lt;&gt;"",'控制台'!B5&lt;&gt;"",'控制台'!B4='刷新信息'!B6,'控制台'!B5='刷新信息'!B8),COUNTIF('月度趋势'!A5:A1000,A17)&gt;0),SUMIFS('月度趋势'!D5:D1000,'月度趋势'!A5:A1000,A17,'月度趋势'!E5:E1000,"营业成本"),"")</f>
        <v/>
      </c>
      <c r="D17" s="6">
        <f>IF(AND(AND('控制台'!B4&lt;&gt;"",'控制台'!B5&lt;&gt;"",'控制台'!B4='刷新信息'!B6,'控制台'!B5='刷新信息'!B8),COUNTIF('月度趋势'!A5:A1000,A17)&gt;0),SUMIFS('月度趋势'!D5:D1000,'月度趋势'!A5:A1000,A17,'月度趋势'!E5:E1000,"净利润"),"")</f>
        <v/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>
        <f>IF('控制台'!B5="","",LEFT('控制台'!B5,4)&amp;"-03")</f>
        <v/>
      </c>
      <c r="B18" s="6">
        <f>IF(AND(AND('控制台'!B4&lt;&gt;"",'控制台'!B5&lt;&gt;"",'控制台'!B4='刷新信息'!B6,'控制台'!B5='刷新信息'!B8),COUNTIF('月度趋势'!A5:A1000,A18)&gt;0),SUMIFS('月度趋势'!D5:D1000,'月度趋势'!A5:A1000,A18,'月度趋势'!E5:E1000,"营业收入"),"")</f>
        <v/>
      </c>
      <c r="C18" s="6">
        <f>IF(AND(AND('控制台'!B4&lt;&gt;"",'控制台'!B5&lt;&gt;"",'控制台'!B4='刷新信息'!B6,'控制台'!B5='刷新信息'!B8),COUNTIF('月度趋势'!A5:A1000,A18)&gt;0),SUMIFS('月度趋势'!D5:D1000,'月度趋势'!A5:A1000,A18,'月度趋势'!E5:E1000,"营业成本"),"")</f>
        <v/>
      </c>
      <c r="D18" s="6">
        <f>IF(AND(AND('控制台'!B4&lt;&gt;"",'控制台'!B5&lt;&gt;"",'控制台'!B4='刷新信息'!B6,'控制台'!B5='刷新信息'!B8),COUNTIF('月度趋势'!A5:A1000,A18)&gt;0),SUMIFS('月度趋势'!D5:D1000,'月度趋势'!A5:A1000,A18,'月度趋势'!E5:E1000,"净利润"),"")</f>
        <v/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>
        <f>IF('控制台'!B5="","",LEFT('控制台'!B5,4)&amp;"-04")</f>
        <v/>
      </c>
      <c r="B19" s="6">
        <f>IF(AND(AND('控制台'!B4&lt;&gt;"",'控制台'!B5&lt;&gt;"",'控制台'!B4='刷新信息'!B6,'控制台'!B5='刷新信息'!B8),COUNTIF('月度趋势'!A5:A1000,A19)&gt;0),SUMIFS('月度趋势'!D5:D1000,'月度趋势'!A5:A1000,A19,'月度趋势'!E5:E1000,"营业收入"),"")</f>
        <v/>
      </c>
      <c r="C19" s="6">
        <f>IF(AND(AND('控制台'!B4&lt;&gt;"",'控制台'!B5&lt;&gt;"",'控制台'!B4='刷新信息'!B6,'控制台'!B5='刷新信息'!B8),COUNTIF('月度趋势'!A5:A1000,A19)&gt;0),SUMIFS('月度趋势'!D5:D1000,'月度趋势'!A5:A1000,A19,'月度趋势'!E5:E1000,"营业成本"),"")</f>
        <v/>
      </c>
      <c r="D19" s="6">
        <f>IF(AND(AND('控制台'!B4&lt;&gt;"",'控制台'!B5&lt;&gt;"",'控制台'!B4='刷新信息'!B6,'控制台'!B5='刷新信息'!B8),COUNTIF('月度趋势'!A5:A1000,A19)&gt;0),SUMIFS('月度趋势'!D5:D1000,'月度趋势'!A5:A1000,A19,'月度趋势'!E5:E1000,"净利润"),"")</f>
        <v/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>
        <f>IF('控制台'!B5="","",LEFT('控制台'!B5,4)&amp;"-05")</f>
        <v/>
      </c>
      <c r="B20" s="6">
        <f>IF(AND(AND('控制台'!B4&lt;&gt;"",'控制台'!B5&lt;&gt;"",'控制台'!B4='刷新信息'!B6,'控制台'!B5='刷新信息'!B8),COUNTIF('月度趋势'!A5:A1000,A20)&gt;0),SUMIFS('月度趋势'!D5:D1000,'月度趋势'!A5:A1000,A20,'月度趋势'!E5:E1000,"营业收入"),"")</f>
        <v/>
      </c>
      <c r="C20" s="6">
        <f>IF(AND(AND('控制台'!B4&lt;&gt;"",'控制台'!B5&lt;&gt;"",'控制台'!B4='刷新信息'!B6,'控制台'!B5='刷新信息'!B8),COUNTIF('月度趋势'!A5:A1000,A20)&gt;0),SUMIFS('月度趋势'!D5:D1000,'月度趋势'!A5:A1000,A20,'月度趋势'!E5:E1000,"营业成本"),"")</f>
        <v/>
      </c>
      <c r="D20" s="6">
        <f>IF(AND(AND('控制台'!B4&lt;&gt;"",'控制台'!B5&lt;&gt;"",'控制台'!B4='刷新信息'!B6,'控制台'!B5='刷新信息'!B8),COUNTIF('月度趋势'!A5:A1000,A20)&gt;0),SUMIFS('月度趋势'!D5:D1000,'月度趋势'!A5:A1000,A20,'月度趋势'!E5:E1000,"净利润"),"")</f>
        <v/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>
        <f>IF('控制台'!B5="","",LEFT('控制台'!B5,4)&amp;"-06")</f>
        <v/>
      </c>
      <c r="B21" s="6">
        <f>IF(AND(AND('控制台'!B4&lt;&gt;"",'控制台'!B5&lt;&gt;"",'控制台'!B4='刷新信息'!B6,'控制台'!B5='刷新信息'!B8),COUNTIF('月度趋势'!A5:A1000,A21)&gt;0),SUMIFS('月度趋势'!D5:D1000,'月度趋势'!A5:A1000,A21,'月度趋势'!E5:E1000,"营业收入"),"")</f>
        <v/>
      </c>
      <c r="C21" s="6">
        <f>IF(AND(AND('控制台'!B4&lt;&gt;"",'控制台'!B5&lt;&gt;"",'控制台'!B4='刷新信息'!B6,'控制台'!B5='刷新信息'!B8),COUNTIF('月度趋势'!A5:A1000,A21)&gt;0),SUMIFS('月度趋势'!D5:D1000,'月度趋势'!A5:A1000,A21,'月度趋势'!E5:E1000,"营业成本"),"")</f>
        <v/>
      </c>
      <c r="D21" s="6">
        <f>IF(AND(AND('控制台'!B4&lt;&gt;"",'控制台'!B5&lt;&gt;"",'控制台'!B4='刷新信息'!B6,'控制台'!B5='刷新信息'!B8),COUNTIF('月度趋势'!A5:A1000,A21)&gt;0),SUMIFS('月度趋势'!D5:D1000,'月度趋势'!A5:A1000,A21,'月度趋势'!E5:E1000,"净利润"),"")</f>
        <v/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>
        <f>IF('控制台'!B5="","",LEFT('控制台'!B5,4)&amp;"-07")</f>
        <v/>
      </c>
      <c r="B22" s="6">
        <f>IF(AND(AND('控制台'!B4&lt;&gt;"",'控制台'!B5&lt;&gt;"",'控制台'!B4='刷新信息'!B6,'控制台'!B5='刷新信息'!B8),COUNTIF('月度趋势'!A5:A1000,A22)&gt;0),SUMIFS('月度趋势'!D5:D1000,'月度趋势'!A5:A1000,A22,'月度趋势'!E5:E1000,"营业收入"),"")</f>
        <v/>
      </c>
      <c r="C22" s="6">
        <f>IF(AND(AND('控制台'!B4&lt;&gt;"",'控制台'!B5&lt;&gt;"",'控制台'!B4='刷新信息'!B6,'控制台'!B5='刷新信息'!B8),COUNTIF('月度趋势'!A5:A1000,A22)&gt;0),SUMIFS('月度趋势'!D5:D1000,'月度趋势'!A5:A1000,A22,'月度趋势'!E5:E1000,"营业成本"),"")</f>
        <v/>
      </c>
      <c r="D22" s="6">
        <f>IF(AND(AND('控制台'!B4&lt;&gt;"",'控制台'!B5&lt;&gt;"",'控制台'!B4='刷新信息'!B6,'控制台'!B5='刷新信息'!B8),COUNTIF('月度趋势'!A5:A1000,A22)&gt;0),SUMIFS('月度趋势'!D5:D1000,'月度趋势'!A5:A1000,A22,'月度趋势'!E5:E1000,"净利润"),"")</f>
        <v/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>
        <f>IF('控制台'!B5="","",LEFT('控制台'!B5,4)&amp;"-08")</f>
        <v/>
      </c>
      <c r="B23" s="6">
        <f>IF(AND(AND('控制台'!B4&lt;&gt;"",'控制台'!B5&lt;&gt;"",'控制台'!B4='刷新信息'!B6,'控制台'!B5='刷新信息'!B8),COUNTIF('月度趋势'!A5:A1000,A23)&gt;0),SUMIFS('月度趋势'!D5:D1000,'月度趋势'!A5:A1000,A23,'月度趋势'!E5:E1000,"营业收入"),"")</f>
        <v/>
      </c>
      <c r="C23" s="6">
        <f>IF(AND(AND('控制台'!B4&lt;&gt;"",'控制台'!B5&lt;&gt;"",'控制台'!B4='刷新信息'!B6,'控制台'!B5='刷新信息'!B8),COUNTIF('月度趋势'!A5:A1000,A23)&gt;0),SUMIFS('月度趋势'!D5:D1000,'月度趋势'!A5:A1000,A23,'月度趋势'!E5:E1000,"营业成本"),"")</f>
        <v/>
      </c>
      <c r="D23" s="6">
        <f>IF(AND(AND('控制台'!B4&lt;&gt;"",'控制台'!B5&lt;&gt;"",'控制台'!B4='刷新信息'!B6,'控制台'!B5='刷新信息'!B8),COUNTIF('月度趋势'!A5:A1000,A23)&gt;0),SUMIFS('月度趋势'!D5:D1000,'月度趋势'!A5:A1000,A23,'月度趋势'!E5:E1000,"净利润"),"")</f>
        <v/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>
        <f>IF('控制台'!B5="","",LEFT('控制台'!B5,4)&amp;"-09")</f>
        <v/>
      </c>
      <c r="B24" s="6">
        <f>IF(AND(AND('控制台'!B4&lt;&gt;"",'控制台'!B5&lt;&gt;"",'控制台'!B4='刷新信息'!B6,'控制台'!B5='刷新信息'!B8),COUNTIF('月度趋势'!A5:A1000,A24)&gt;0),SUMIFS('月度趋势'!D5:D1000,'月度趋势'!A5:A1000,A24,'月度趋势'!E5:E1000,"营业收入"),"")</f>
        <v/>
      </c>
      <c r="C24" s="6">
        <f>IF(AND(AND('控制台'!B4&lt;&gt;"",'控制台'!B5&lt;&gt;"",'控制台'!B4='刷新信息'!B6,'控制台'!B5='刷新信息'!B8),COUNTIF('月度趋势'!A5:A1000,A24)&gt;0),SUMIFS('月度趋势'!D5:D1000,'月度趋势'!A5:A1000,A24,'月度趋势'!E5:E1000,"营业成本"),"")</f>
        <v/>
      </c>
      <c r="D24" s="6">
        <f>IF(AND(AND('控制台'!B4&lt;&gt;"",'控制台'!B5&lt;&gt;"",'控制台'!B4='刷新信息'!B6,'控制台'!B5='刷新信息'!B8),COUNTIF('月度趋势'!A5:A1000,A24)&gt;0),SUMIFS('月度趋势'!D5:D1000,'月度趋势'!A5:A1000,A24,'月度趋势'!E5:E1000,"净利润"),"")</f>
        <v/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>
        <f>IF('控制台'!B5="","",LEFT('控制台'!B5,4)&amp;"-10")</f>
        <v/>
      </c>
      <c r="B25" s="6">
        <f>IF(AND(AND('控制台'!B4&lt;&gt;"",'控制台'!B5&lt;&gt;"",'控制台'!B4='刷新信息'!B6,'控制台'!B5='刷新信息'!B8),COUNTIF('月度趋势'!A5:A1000,A25)&gt;0),SUMIFS('月度趋势'!D5:D1000,'月度趋势'!A5:A1000,A25,'月度趋势'!E5:E1000,"营业收入"),"")</f>
        <v/>
      </c>
      <c r="C25" s="6">
        <f>IF(AND(AND('控制台'!B4&lt;&gt;"",'控制台'!B5&lt;&gt;"",'控制台'!B4='刷新信息'!B6,'控制台'!B5='刷新信息'!B8),COUNTIF('月度趋势'!A5:A1000,A25)&gt;0),SUMIFS('月度趋势'!D5:D1000,'月度趋势'!A5:A1000,A25,'月度趋势'!E5:E1000,"营业成本"),"")</f>
        <v/>
      </c>
      <c r="D25" s="6">
        <f>IF(AND(AND('控制台'!B4&lt;&gt;"",'控制台'!B5&lt;&gt;"",'控制台'!B4='刷新信息'!B6,'控制台'!B5='刷新信息'!B8),COUNTIF('月度趋势'!A5:A1000,A25)&gt;0),SUMIFS('月度趋势'!D5:D1000,'月度趋势'!A5:A1000,A25,'月度趋势'!E5:E1000,"净利润"),"")</f>
        <v/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>
        <f>IF('控制台'!B5="","",LEFT('控制台'!B5,4)&amp;"-11")</f>
        <v/>
      </c>
      <c r="B26" s="6">
        <f>IF(AND(AND('控制台'!B4&lt;&gt;"",'控制台'!B5&lt;&gt;"",'控制台'!B4='刷新信息'!B6,'控制台'!B5='刷新信息'!B8),COUNTIF('月度趋势'!A5:A1000,A26)&gt;0),SUMIFS('月度趋势'!D5:D1000,'月度趋势'!A5:A1000,A26,'月度趋势'!E5:E1000,"营业收入"),"")</f>
        <v/>
      </c>
      <c r="C26" s="6">
        <f>IF(AND(AND('控制台'!B4&lt;&gt;"",'控制台'!B5&lt;&gt;"",'控制台'!B4='刷新信息'!B6,'控制台'!B5='刷新信息'!B8),COUNTIF('月度趋势'!A5:A1000,A26)&gt;0),SUMIFS('月度趋势'!D5:D1000,'月度趋势'!A5:A1000,A26,'月度趋势'!E5:E1000,"营业成本"),"")</f>
        <v/>
      </c>
      <c r="D26" s="6">
        <f>IF(AND(AND('控制台'!B4&lt;&gt;"",'控制台'!B5&lt;&gt;"",'控制台'!B4='刷新信息'!B6,'控制台'!B5='刷新信息'!B8),COUNTIF('月度趋势'!A5:A1000,A26)&gt;0),SUMIFS('月度趋势'!D5:D1000,'月度趋势'!A5:A1000,A26,'月度趋势'!E5:E1000,"净利润"),"")</f>
        <v/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>
        <f>IF('控制台'!B5="","",LEFT('控制台'!B5,4)&amp;"-12")</f>
        <v/>
      </c>
      <c r="B27" s="6">
        <f>IF(AND(AND('控制台'!B4&lt;&gt;"",'控制台'!B5&lt;&gt;"",'控制台'!B4='刷新信息'!B6,'控制台'!B5='刷新信息'!B8),COUNTIF('月度趋势'!A5:A1000,A27)&gt;0),SUMIFS('月度趋势'!D5:D1000,'月度趋势'!A5:A1000,A27,'月度趋势'!E5:E1000,"营业收入"),"")</f>
        <v/>
      </c>
      <c r="C27" s="6">
        <f>IF(AND(AND('控制台'!B4&lt;&gt;"",'控制台'!B5&lt;&gt;"",'控制台'!B4='刷新信息'!B6,'控制台'!B5='刷新信息'!B8),COUNTIF('月度趋势'!A5:A1000,A27)&gt;0),SUMIFS('月度趋势'!D5:D1000,'月度趋势'!A5:A1000,A27,'月度趋势'!E5:E1000,"营业成本"),"")</f>
        <v/>
      </c>
      <c r="D27" s="6">
        <f>IF(AND(AND('控制台'!B4&lt;&gt;"",'控制台'!B5&lt;&gt;"",'控制台'!B4='刷新信息'!B6,'控制台'!B5='刷新信息'!B8),COUNTIF('月度趋势'!A5:A1000,A27)&gt;0),SUMIFS('月度趋势'!D5:D1000,'月度趋势'!A5:A1000,A27,'月度趋势'!E5:E1000,"净利润"),"")</f>
        <v/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7" t="inlineStr">
        <is>
          <t>预算输入</t>
        </is>
      </c>
      <c r="B1" s="8" t="n"/>
      <c r="C1" s="8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8" t="inlineStr">
        <is>
          <t>每行对应公司、月份、利润项目编码；同一组合可分笔录入，按合计比较。</t>
        </is>
      </c>
      <c r="B2" s="8" t="n"/>
      <c r="C2" s="8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8" t="n"/>
      <c r="B3" s="8" t="n"/>
      <c r="C3" s="8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9" t="inlineStr">
        <is>
          <t>公司编号</t>
        </is>
      </c>
      <c r="B4" s="9" t="inlineStr">
        <is>
          <t>月份</t>
        </is>
      </c>
      <c r="C4" s="9" t="inlineStr">
        <is>
          <t>利润项目编码</t>
        </is>
      </c>
      <c r="D4" s="5" t="inlineStr">
        <is>
          <t>项目名称</t>
        </is>
      </c>
      <c r="E4" s="5" t="inlineStr">
        <is>
          <t>预算金额</t>
        </is>
      </c>
      <c r="F4" s="5" t="inlineStr">
        <is>
          <t>说明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10" t="n"/>
      <c r="B5" s="10" t="n"/>
      <c r="C5" s="10" t="n"/>
      <c r="D5" s="11" t="n"/>
      <c r="E5" s="12" t="n"/>
      <c r="F5" s="11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10" t="n"/>
      <c r="B6" s="10" t="n"/>
      <c r="C6" s="10" t="n"/>
      <c r="D6" s="11" t="n"/>
      <c r="E6" s="12" t="n"/>
      <c r="F6" s="11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10" t="n"/>
      <c r="B7" s="10" t="n"/>
      <c r="C7" s="10" t="n"/>
      <c r="D7" s="11" t="n"/>
      <c r="E7" s="12" t="n"/>
      <c r="F7" s="11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10" t="n"/>
      <c r="B8" s="10" t="n"/>
      <c r="C8" s="10" t="n"/>
      <c r="D8" s="11" t="n"/>
      <c r="E8" s="12" t="n"/>
      <c r="F8" s="11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10" t="n"/>
      <c r="B9" s="10" t="n"/>
      <c r="C9" s="10" t="n"/>
      <c r="D9" s="11" t="n"/>
      <c r="E9" s="12" t="n"/>
      <c r="F9" s="11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10" t="n"/>
      <c r="B10" s="10" t="n"/>
      <c r="C10" s="10" t="n"/>
      <c r="D10" s="11" t="n"/>
      <c r="E10" s="12" t="n"/>
      <c r="F10" s="11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10" t="n"/>
      <c r="B11" s="10" t="n"/>
      <c r="C11" s="10" t="n"/>
      <c r="D11" s="11" t="n"/>
      <c r="E11" s="12" t="n"/>
      <c r="F11" s="11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10" t="n"/>
      <c r="B12" s="10" t="n"/>
      <c r="C12" s="10" t="n"/>
      <c r="D12" s="11" t="n"/>
      <c r="E12" s="12" t="n"/>
      <c r="F12" s="11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10" t="n"/>
      <c r="B13" s="10" t="n"/>
      <c r="C13" s="10" t="n"/>
      <c r="D13" s="11" t="n"/>
      <c r="E13" s="12" t="n"/>
      <c r="F13" s="11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10" t="n"/>
      <c r="B14" s="10" t="n"/>
      <c r="C14" s="10" t="n"/>
      <c r="D14" s="11" t="n"/>
      <c r="E14" s="12" t="n"/>
      <c r="F14" s="11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10" t="n"/>
      <c r="B15" s="10" t="n"/>
      <c r="C15" s="10" t="n"/>
      <c r="D15" s="11" t="n"/>
      <c r="E15" s="12" t="n"/>
      <c r="F15" s="11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10" t="n"/>
      <c r="B16" s="10" t="n"/>
      <c r="C16" s="10" t="n"/>
      <c r="D16" s="11" t="n"/>
      <c r="E16" s="12" t="n"/>
      <c r="F16" s="11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10" t="n"/>
      <c r="B17" s="10" t="n"/>
      <c r="C17" s="10" t="n"/>
      <c r="D17" s="11" t="n"/>
      <c r="E17" s="12" t="n"/>
      <c r="F17" s="11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10" t="n"/>
      <c r="B18" s="10" t="n"/>
      <c r="C18" s="10" t="n"/>
      <c r="D18" s="11" t="n"/>
      <c r="E18" s="12" t="n"/>
      <c r="F18" s="11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10" t="n"/>
      <c r="B19" s="10" t="n"/>
      <c r="C19" s="10" t="n"/>
      <c r="D19" s="11" t="n"/>
      <c r="E19" s="12" t="n"/>
      <c r="F19" s="11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10" t="n"/>
      <c r="B20" s="10" t="n"/>
      <c r="C20" s="10" t="n"/>
      <c r="D20" s="11" t="n"/>
      <c r="E20" s="12" t="n"/>
      <c r="F20" s="11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10" t="n"/>
      <c r="B21" s="10" t="n"/>
      <c r="C21" s="10" t="n"/>
      <c r="D21" s="11" t="n"/>
      <c r="E21" s="12" t="n"/>
      <c r="F21" s="11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10" t="n"/>
      <c r="B22" s="10" t="n"/>
      <c r="C22" s="10" t="n"/>
      <c r="D22" s="11" t="n"/>
      <c r="E22" s="12" t="n"/>
      <c r="F22" s="11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10" t="n"/>
      <c r="B23" s="10" t="n"/>
      <c r="C23" s="10" t="n"/>
      <c r="D23" s="11" t="n"/>
      <c r="E23" s="12" t="n"/>
      <c r="F23" s="11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10" t="n"/>
      <c r="B24" s="10" t="n"/>
      <c r="C24" s="10" t="n"/>
      <c r="D24" s="11" t="n"/>
      <c r="E24" s="12" t="n"/>
      <c r="F24" s="11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10" t="n"/>
      <c r="B25" s="10" t="n"/>
      <c r="C25" s="10" t="n"/>
      <c r="D25" s="11" t="n"/>
      <c r="E25" s="12" t="n"/>
      <c r="F25" s="11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10" t="n"/>
      <c r="B26" s="10" t="n"/>
      <c r="C26" s="10" t="n"/>
      <c r="D26" s="11" t="n"/>
      <c r="E26" s="12" t="n"/>
      <c r="F26" s="11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10" t="n"/>
      <c r="B27" s="10" t="n"/>
      <c r="C27" s="10" t="n"/>
      <c r="D27" s="11" t="n"/>
      <c r="E27" s="12" t="n"/>
      <c r="F27" s="11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10" t="n"/>
      <c r="B28" s="10" t="n"/>
      <c r="C28" s="10" t="n"/>
      <c r="D28" s="11" t="n"/>
      <c r="E28" s="12" t="n"/>
      <c r="F28" s="11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10" t="n"/>
      <c r="B29" s="10" t="n"/>
      <c r="C29" s="10" t="n"/>
      <c r="D29" s="11" t="n"/>
      <c r="E29" s="12" t="n"/>
      <c r="F29" s="11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10" t="n"/>
      <c r="B30" s="10" t="n"/>
      <c r="C30" s="10" t="n"/>
      <c r="D30" s="11" t="n"/>
      <c r="E30" s="12" t="n"/>
      <c r="F30" s="11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10" t="n"/>
      <c r="B31" s="10" t="n"/>
      <c r="C31" s="10" t="n"/>
      <c r="D31" s="11" t="n"/>
      <c r="E31" s="12" t="n"/>
      <c r="F31" s="11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10" t="n"/>
      <c r="B32" s="10" t="n"/>
      <c r="C32" s="10" t="n"/>
      <c r="D32" s="11" t="n"/>
      <c r="E32" s="12" t="n"/>
      <c r="F32" s="11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10" t="n"/>
      <c r="B33" s="10" t="n"/>
      <c r="C33" s="10" t="n"/>
      <c r="D33" s="11" t="n"/>
      <c r="E33" s="12" t="n"/>
      <c r="F33" s="11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10" t="n"/>
      <c r="B34" s="10" t="n"/>
      <c r="C34" s="10" t="n"/>
      <c r="D34" s="11" t="n"/>
      <c r="E34" s="12" t="n"/>
      <c r="F34" s="11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10" t="n"/>
      <c r="B35" s="10" t="n"/>
      <c r="C35" s="10" t="n"/>
      <c r="D35" s="11" t="n"/>
      <c r="E35" s="12" t="n"/>
      <c r="F35" s="11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10" t="n"/>
      <c r="B36" s="10" t="n"/>
      <c r="C36" s="10" t="n"/>
      <c r="D36" s="11" t="n"/>
      <c r="E36" s="12" t="n"/>
      <c r="F36" s="11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10" t="n"/>
      <c r="B37" s="10" t="n"/>
      <c r="C37" s="10" t="n"/>
      <c r="D37" s="11" t="n"/>
      <c r="E37" s="12" t="n"/>
      <c r="F37" s="11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10" t="n"/>
      <c r="B38" s="10" t="n"/>
      <c r="C38" s="10" t="n"/>
      <c r="D38" s="11" t="n"/>
      <c r="E38" s="12" t="n"/>
      <c r="F38" s="11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10" t="n"/>
      <c r="B39" s="10" t="n"/>
      <c r="C39" s="10" t="n"/>
      <c r="D39" s="11" t="n"/>
      <c r="E39" s="12" t="n"/>
      <c r="F39" s="11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10" t="n"/>
      <c r="B40" s="10" t="n"/>
      <c r="C40" s="10" t="n"/>
      <c r="D40" s="11" t="n"/>
      <c r="E40" s="12" t="n"/>
      <c r="F40" s="11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13" t="n"/>
      <c r="B41" s="13" t="n"/>
      <c r="C41" s="13" t="n"/>
      <c r="D41" s="14" t="n"/>
      <c r="E41" s="15" t="n"/>
      <c r="F41" s="14" t="n"/>
    </row>
    <row r="42">
      <c r="A42" s="13" t="n"/>
      <c r="B42" s="13" t="n"/>
      <c r="C42" s="13" t="n"/>
      <c r="D42" s="14" t="n"/>
      <c r="E42" s="15" t="n"/>
      <c r="F42" s="14" t="n"/>
    </row>
    <row r="43">
      <c r="A43" s="13" t="n"/>
      <c r="B43" s="13" t="n"/>
      <c r="C43" s="13" t="n"/>
      <c r="D43" s="14" t="n"/>
      <c r="E43" s="15" t="n"/>
      <c r="F43" s="14" t="n"/>
    </row>
    <row r="44">
      <c r="A44" s="13" t="n"/>
      <c r="B44" s="13" t="n"/>
      <c r="C44" s="13" t="n"/>
      <c r="D44" s="14" t="n"/>
      <c r="E44" s="15" t="n"/>
      <c r="F44" s="14" t="n"/>
    </row>
    <row r="45">
      <c r="A45" s="13" t="n"/>
      <c r="B45" s="13" t="n"/>
      <c r="C45" s="13" t="n"/>
      <c r="D45" s="14" t="n"/>
      <c r="E45" s="15" t="n"/>
      <c r="F45" s="14" t="n"/>
    </row>
    <row r="46">
      <c r="A46" s="13" t="n"/>
      <c r="B46" s="13" t="n"/>
      <c r="C46" s="13" t="n"/>
      <c r="D46" s="14" t="n"/>
      <c r="E46" s="15" t="n"/>
      <c r="F46" s="14" t="n"/>
    </row>
    <row r="47">
      <c r="A47" s="13" t="n"/>
      <c r="B47" s="13" t="n"/>
      <c r="C47" s="13" t="n"/>
      <c r="D47" s="14" t="n"/>
      <c r="E47" s="15" t="n"/>
      <c r="F47" s="14" t="n"/>
    </row>
    <row r="48">
      <c r="A48" s="13" t="n"/>
      <c r="B48" s="13" t="n"/>
      <c r="C48" s="13" t="n"/>
      <c r="D48" s="14" t="n"/>
      <c r="E48" s="15" t="n"/>
      <c r="F48" s="14" t="n"/>
    </row>
    <row r="49">
      <c r="A49" s="13" t="n"/>
      <c r="B49" s="13" t="n"/>
      <c r="C49" s="13" t="n"/>
      <c r="D49" s="14" t="n"/>
      <c r="E49" s="15" t="n"/>
      <c r="F49" s="14" t="n"/>
    </row>
    <row r="50">
      <c r="A50" s="13" t="n"/>
      <c r="B50" s="13" t="n"/>
      <c r="C50" s="13" t="n"/>
      <c r="D50" s="14" t="n"/>
      <c r="E50" s="15" t="n"/>
      <c r="F50" s="14" t="n"/>
    </row>
    <row r="51">
      <c r="A51" s="13" t="n"/>
      <c r="B51" s="13" t="n"/>
      <c r="C51" s="13" t="n"/>
      <c r="D51" s="14" t="n"/>
      <c r="E51" s="15" t="n"/>
      <c r="F51" s="14" t="n"/>
    </row>
    <row r="52">
      <c r="A52" s="13" t="n"/>
      <c r="B52" s="13" t="n"/>
      <c r="C52" s="13" t="n"/>
      <c r="D52" s="14" t="n"/>
      <c r="E52" s="15" t="n"/>
      <c r="F52" s="14" t="n"/>
    </row>
    <row r="53">
      <c r="A53" s="13" t="n"/>
      <c r="B53" s="13" t="n"/>
      <c r="C53" s="13" t="n"/>
      <c r="D53" s="14" t="n"/>
      <c r="E53" s="15" t="n"/>
      <c r="F53" s="14" t="n"/>
    </row>
    <row r="54">
      <c r="A54" s="13" t="n"/>
      <c r="B54" s="13" t="n"/>
      <c r="C54" s="13" t="n"/>
      <c r="D54" s="14" t="n"/>
      <c r="E54" s="15" t="n"/>
      <c r="F54" s="14" t="n"/>
    </row>
    <row r="55">
      <c r="A55" s="13" t="n"/>
      <c r="B55" s="13" t="n"/>
      <c r="C55" s="13" t="n"/>
      <c r="D55" s="14" t="n"/>
      <c r="E55" s="15" t="n"/>
      <c r="F55" s="14" t="n"/>
    </row>
    <row r="56">
      <c r="A56" s="13" t="n"/>
      <c r="B56" s="13" t="n"/>
      <c r="C56" s="13" t="n"/>
      <c r="D56" s="14" t="n"/>
      <c r="E56" s="15" t="n"/>
      <c r="F56" s="14" t="n"/>
    </row>
    <row r="57">
      <c r="A57" s="13" t="n"/>
      <c r="B57" s="13" t="n"/>
      <c r="C57" s="13" t="n"/>
      <c r="D57" s="14" t="n"/>
      <c r="E57" s="15" t="n"/>
      <c r="F57" s="14" t="n"/>
    </row>
    <row r="58">
      <c r="A58" s="13" t="n"/>
      <c r="B58" s="13" t="n"/>
      <c r="C58" s="13" t="n"/>
      <c r="D58" s="14" t="n"/>
      <c r="E58" s="15" t="n"/>
      <c r="F58" s="14" t="n"/>
    </row>
    <row r="59">
      <c r="A59" s="13" t="n"/>
      <c r="B59" s="13" t="n"/>
      <c r="C59" s="13" t="n"/>
      <c r="D59" s="14" t="n"/>
      <c r="E59" s="15" t="n"/>
      <c r="F59" s="14" t="n"/>
    </row>
    <row r="60">
      <c r="A60" s="13" t="n"/>
      <c r="B60" s="13" t="n"/>
      <c r="C60" s="13" t="n"/>
      <c r="D60" s="14" t="n"/>
      <c r="E60" s="15" t="n"/>
      <c r="F60" s="14" t="n"/>
    </row>
    <row r="61">
      <c r="A61" s="13" t="n"/>
      <c r="B61" s="13" t="n"/>
      <c r="C61" s="13" t="n"/>
      <c r="D61" s="14" t="n"/>
      <c r="E61" s="15" t="n"/>
      <c r="F61" s="14" t="n"/>
    </row>
    <row r="62">
      <c r="A62" s="13" t="n"/>
      <c r="B62" s="13" t="n"/>
      <c r="C62" s="13" t="n"/>
      <c r="D62" s="14" t="n"/>
      <c r="E62" s="15" t="n"/>
      <c r="F62" s="14" t="n"/>
    </row>
    <row r="63">
      <c r="A63" s="13" t="n"/>
      <c r="B63" s="13" t="n"/>
      <c r="C63" s="13" t="n"/>
      <c r="D63" s="14" t="n"/>
      <c r="E63" s="15" t="n"/>
      <c r="F63" s="14" t="n"/>
    </row>
    <row r="64">
      <c r="A64" s="13" t="n"/>
      <c r="B64" s="13" t="n"/>
      <c r="C64" s="13" t="n"/>
      <c r="D64" s="14" t="n"/>
      <c r="E64" s="15" t="n"/>
      <c r="F64" s="14" t="n"/>
    </row>
    <row r="65">
      <c r="A65" s="13" t="n"/>
      <c r="B65" s="13" t="n"/>
      <c r="C65" s="13" t="n"/>
      <c r="D65" s="14" t="n"/>
      <c r="E65" s="15" t="n"/>
      <c r="F65" s="14" t="n"/>
    </row>
    <row r="66">
      <c r="A66" s="13" t="n"/>
      <c r="B66" s="13" t="n"/>
      <c r="C66" s="13" t="n"/>
      <c r="D66" s="14" t="n"/>
      <c r="E66" s="15" t="n"/>
      <c r="F66" s="14" t="n"/>
    </row>
    <row r="67">
      <c r="A67" s="13" t="n"/>
      <c r="B67" s="13" t="n"/>
      <c r="C67" s="13" t="n"/>
      <c r="D67" s="14" t="n"/>
      <c r="E67" s="15" t="n"/>
      <c r="F67" s="14" t="n"/>
    </row>
    <row r="68">
      <c r="A68" s="13" t="n"/>
      <c r="B68" s="13" t="n"/>
      <c r="C68" s="13" t="n"/>
      <c r="D68" s="14" t="n"/>
      <c r="E68" s="15" t="n"/>
      <c r="F68" s="14" t="n"/>
    </row>
    <row r="69">
      <c r="A69" s="13" t="n"/>
      <c r="B69" s="13" t="n"/>
      <c r="C69" s="13" t="n"/>
      <c r="D69" s="14" t="n"/>
      <c r="E69" s="15" t="n"/>
      <c r="F69" s="14" t="n"/>
    </row>
    <row r="70">
      <c r="A70" s="13" t="n"/>
      <c r="B70" s="13" t="n"/>
      <c r="C70" s="13" t="n"/>
      <c r="D70" s="14" t="n"/>
      <c r="E70" s="15" t="n"/>
      <c r="F70" s="14" t="n"/>
    </row>
    <row r="71">
      <c r="A71" s="13" t="n"/>
      <c r="B71" s="13" t="n"/>
      <c r="C71" s="13" t="n"/>
      <c r="D71" s="14" t="n"/>
      <c r="E71" s="15" t="n"/>
      <c r="F71" s="14" t="n"/>
    </row>
    <row r="72">
      <c r="A72" s="13" t="n"/>
      <c r="B72" s="13" t="n"/>
      <c r="C72" s="13" t="n"/>
      <c r="D72" s="14" t="n"/>
      <c r="E72" s="15" t="n"/>
      <c r="F72" s="14" t="n"/>
    </row>
    <row r="73">
      <c r="A73" s="13" t="n"/>
      <c r="B73" s="13" t="n"/>
      <c r="C73" s="13" t="n"/>
      <c r="D73" s="14" t="n"/>
      <c r="E73" s="15" t="n"/>
      <c r="F73" s="14" t="n"/>
    </row>
    <row r="74">
      <c r="A74" s="13" t="n"/>
      <c r="B74" s="13" t="n"/>
      <c r="C74" s="13" t="n"/>
      <c r="D74" s="14" t="n"/>
      <c r="E74" s="15" t="n"/>
      <c r="F74" s="14" t="n"/>
    </row>
    <row r="75">
      <c r="A75" s="13" t="n"/>
      <c r="B75" s="13" t="n"/>
      <c r="C75" s="13" t="n"/>
      <c r="D75" s="14" t="n"/>
      <c r="E75" s="15" t="n"/>
      <c r="F75" s="14" t="n"/>
    </row>
    <row r="76">
      <c r="A76" s="13" t="n"/>
      <c r="B76" s="13" t="n"/>
      <c r="C76" s="13" t="n"/>
      <c r="D76" s="14" t="n"/>
      <c r="E76" s="15" t="n"/>
      <c r="F76" s="14" t="n"/>
    </row>
    <row r="77">
      <c r="A77" s="13" t="n"/>
      <c r="B77" s="13" t="n"/>
      <c r="C77" s="13" t="n"/>
      <c r="D77" s="14" t="n"/>
      <c r="E77" s="15" t="n"/>
      <c r="F77" s="14" t="n"/>
    </row>
    <row r="78">
      <c r="A78" s="13" t="n"/>
      <c r="B78" s="13" t="n"/>
      <c r="C78" s="13" t="n"/>
      <c r="D78" s="14" t="n"/>
      <c r="E78" s="15" t="n"/>
      <c r="F78" s="14" t="n"/>
    </row>
    <row r="79">
      <c r="A79" s="13" t="n"/>
      <c r="B79" s="13" t="n"/>
      <c r="C79" s="13" t="n"/>
      <c r="D79" s="14" t="n"/>
      <c r="E79" s="15" t="n"/>
      <c r="F79" s="14" t="n"/>
    </row>
    <row r="80">
      <c r="A80" s="13" t="n"/>
      <c r="B80" s="13" t="n"/>
      <c r="C80" s="13" t="n"/>
      <c r="D80" s="14" t="n"/>
      <c r="E80" s="15" t="n"/>
      <c r="F80" s="14" t="n"/>
    </row>
    <row r="81">
      <c r="A81" s="13" t="n"/>
      <c r="B81" s="13" t="n"/>
      <c r="C81" s="13" t="n"/>
      <c r="D81" s="14" t="n"/>
      <c r="E81" s="15" t="n"/>
      <c r="F81" s="14" t="n"/>
    </row>
    <row r="82">
      <c r="A82" s="13" t="n"/>
      <c r="B82" s="13" t="n"/>
      <c r="C82" s="13" t="n"/>
      <c r="D82" s="14" t="n"/>
      <c r="E82" s="15" t="n"/>
      <c r="F82" s="14" t="n"/>
    </row>
    <row r="83">
      <c r="A83" s="13" t="n"/>
      <c r="B83" s="13" t="n"/>
      <c r="C83" s="13" t="n"/>
      <c r="D83" s="14" t="n"/>
      <c r="E83" s="15" t="n"/>
      <c r="F83" s="14" t="n"/>
    </row>
    <row r="84">
      <c r="A84" s="13" t="n"/>
      <c r="B84" s="13" t="n"/>
      <c r="C84" s="13" t="n"/>
      <c r="D84" s="14" t="n"/>
      <c r="E84" s="15" t="n"/>
      <c r="F84" s="14" t="n"/>
    </row>
    <row r="85">
      <c r="A85" s="13" t="n"/>
      <c r="B85" s="13" t="n"/>
      <c r="C85" s="13" t="n"/>
      <c r="D85" s="14" t="n"/>
      <c r="E85" s="15" t="n"/>
      <c r="F85" s="14" t="n"/>
    </row>
    <row r="86">
      <c r="A86" s="13" t="n"/>
      <c r="B86" s="13" t="n"/>
      <c r="C86" s="13" t="n"/>
      <c r="D86" s="14" t="n"/>
      <c r="E86" s="15" t="n"/>
      <c r="F86" s="14" t="n"/>
    </row>
    <row r="87">
      <c r="A87" s="13" t="n"/>
      <c r="B87" s="13" t="n"/>
      <c r="C87" s="13" t="n"/>
      <c r="D87" s="14" t="n"/>
      <c r="E87" s="15" t="n"/>
      <c r="F87" s="14" t="n"/>
    </row>
    <row r="88">
      <c r="A88" s="13" t="n"/>
      <c r="B88" s="13" t="n"/>
      <c r="C88" s="13" t="n"/>
      <c r="D88" s="14" t="n"/>
      <c r="E88" s="15" t="n"/>
      <c r="F88" s="14" t="n"/>
    </row>
    <row r="89">
      <c r="A89" s="13" t="n"/>
      <c r="B89" s="13" t="n"/>
      <c r="C89" s="13" t="n"/>
      <c r="D89" s="14" t="n"/>
      <c r="E89" s="15" t="n"/>
      <c r="F89" s="14" t="n"/>
    </row>
    <row r="90">
      <c r="A90" s="13" t="n"/>
      <c r="B90" s="13" t="n"/>
      <c r="C90" s="13" t="n"/>
      <c r="D90" s="14" t="n"/>
      <c r="E90" s="15" t="n"/>
      <c r="F90" s="14" t="n"/>
    </row>
    <row r="91">
      <c r="A91" s="13" t="n"/>
      <c r="B91" s="13" t="n"/>
      <c r="C91" s="13" t="n"/>
      <c r="D91" s="14" t="n"/>
      <c r="E91" s="15" t="n"/>
      <c r="F91" s="14" t="n"/>
    </row>
    <row r="92">
      <c r="A92" s="13" t="n"/>
      <c r="B92" s="13" t="n"/>
      <c r="C92" s="13" t="n"/>
      <c r="D92" s="14" t="n"/>
      <c r="E92" s="15" t="n"/>
      <c r="F92" s="14" t="n"/>
    </row>
    <row r="93">
      <c r="A93" s="13" t="n"/>
      <c r="B93" s="13" t="n"/>
      <c r="C93" s="13" t="n"/>
      <c r="D93" s="14" t="n"/>
      <c r="E93" s="15" t="n"/>
      <c r="F93" s="14" t="n"/>
    </row>
    <row r="94">
      <c r="A94" s="13" t="n"/>
      <c r="B94" s="13" t="n"/>
      <c r="C94" s="13" t="n"/>
      <c r="D94" s="14" t="n"/>
      <c r="E94" s="15" t="n"/>
      <c r="F94" s="14" t="n"/>
    </row>
    <row r="95">
      <c r="A95" s="13" t="n"/>
      <c r="B95" s="13" t="n"/>
      <c r="C95" s="13" t="n"/>
      <c r="D95" s="14" t="n"/>
      <c r="E95" s="15" t="n"/>
      <c r="F95" s="14" t="n"/>
    </row>
    <row r="96">
      <c r="A96" s="13" t="n"/>
      <c r="B96" s="13" t="n"/>
      <c r="C96" s="13" t="n"/>
      <c r="D96" s="14" t="n"/>
      <c r="E96" s="15" t="n"/>
      <c r="F96" s="14" t="n"/>
    </row>
    <row r="97">
      <c r="A97" s="13" t="n"/>
      <c r="B97" s="13" t="n"/>
      <c r="C97" s="13" t="n"/>
      <c r="D97" s="14" t="n"/>
      <c r="E97" s="15" t="n"/>
      <c r="F97" s="14" t="n"/>
    </row>
    <row r="98">
      <c r="A98" s="13" t="n"/>
      <c r="B98" s="13" t="n"/>
      <c r="C98" s="13" t="n"/>
      <c r="D98" s="14" t="n"/>
      <c r="E98" s="15" t="n"/>
      <c r="F98" s="14" t="n"/>
    </row>
    <row r="99">
      <c r="A99" s="13" t="n"/>
      <c r="B99" s="13" t="n"/>
      <c r="C99" s="13" t="n"/>
      <c r="D99" s="14" t="n"/>
      <c r="E99" s="15" t="n"/>
      <c r="F99" s="14" t="n"/>
    </row>
    <row r="100">
      <c r="A100" s="13" t="n"/>
      <c r="B100" s="13" t="n"/>
      <c r="C100" s="13" t="n"/>
      <c r="D100" s="14" t="n"/>
      <c r="E100" s="15" t="n"/>
      <c r="F100" s="14" t="n"/>
    </row>
    <row r="101">
      <c r="A101" s="13" t="n"/>
      <c r="B101" s="13" t="n"/>
      <c r="C101" s="13" t="n"/>
      <c r="D101" s="14" t="n"/>
      <c r="E101" s="15" t="n"/>
      <c r="F101" s="14" t="n"/>
    </row>
    <row r="102">
      <c r="A102" s="13" t="n"/>
      <c r="B102" s="13" t="n"/>
      <c r="C102" s="13" t="n"/>
      <c r="D102" s="14" t="n"/>
      <c r="E102" s="15" t="n"/>
      <c r="F102" s="14" t="n"/>
    </row>
    <row r="103">
      <c r="A103" s="13" t="n"/>
      <c r="B103" s="13" t="n"/>
      <c r="C103" s="13" t="n"/>
      <c r="D103" s="14" t="n"/>
      <c r="E103" s="15" t="n"/>
      <c r="F103" s="14" t="n"/>
    </row>
    <row r="104">
      <c r="A104" s="13" t="n"/>
      <c r="B104" s="13" t="n"/>
      <c r="C104" s="13" t="n"/>
      <c r="D104" s="14" t="n"/>
      <c r="E104" s="15" t="n"/>
      <c r="F104" s="14" t="n"/>
    </row>
    <row r="105">
      <c r="A105" s="13" t="n"/>
      <c r="B105" s="13" t="n"/>
      <c r="C105" s="13" t="n"/>
      <c r="D105" s="14" t="n"/>
      <c r="E105" s="15" t="n"/>
      <c r="F105" s="14" t="n"/>
    </row>
    <row r="106">
      <c r="A106" s="13" t="n"/>
      <c r="B106" s="13" t="n"/>
      <c r="C106" s="13" t="n"/>
      <c r="D106" s="14" t="n"/>
      <c r="E106" s="15" t="n"/>
      <c r="F106" s="14" t="n"/>
    </row>
    <row r="107">
      <c r="A107" s="13" t="n"/>
      <c r="B107" s="13" t="n"/>
      <c r="C107" s="13" t="n"/>
      <c r="D107" s="14" t="n"/>
      <c r="E107" s="15" t="n"/>
      <c r="F107" s="14" t="n"/>
    </row>
    <row r="108">
      <c r="A108" s="13" t="n"/>
      <c r="B108" s="13" t="n"/>
      <c r="C108" s="13" t="n"/>
      <c r="D108" s="14" t="n"/>
      <c r="E108" s="15" t="n"/>
      <c r="F108" s="14" t="n"/>
    </row>
    <row r="109">
      <c r="A109" s="13" t="n"/>
      <c r="B109" s="13" t="n"/>
      <c r="C109" s="13" t="n"/>
      <c r="D109" s="14" t="n"/>
      <c r="E109" s="15" t="n"/>
      <c r="F109" s="14" t="n"/>
    </row>
    <row r="110">
      <c r="A110" s="13" t="n"/>
      <c r="B110" s="13" t="n"/>
      <c r="C110" s="13" t="n"/>
      <c r="D110" s="14" t="n"/>
      <c r="E110" s="15" t="n"/>
      <c r="F110" s="14" t="n"/>
    </row>
    <row r="111">
      <c r="A111" s="13" t="n"/>
      <c r="B111" s="13" t="n"/>
      <c r="C111" s="13" t="n"/>
      <c r="D111" s="14" t="n"/>
      <c r="E111" s="15" t="n"/>
      <c r="F111" s="14" t="n"/>
    </row>
    <row r="112">
      <c r="A112" s="13" t="n"/>
      <c r="B112" s="13" t="n"/>
      <c r="C112" s="13" t="n"/>
      <c r="D112" s="14" t="n"/>
      <c r="E112" s="15" t="n"/>
      <c r="F112" s="14" t="n"/>
    </row>
    <row r="113">
      <c r="A113" s="13" t="n"/>
      <c r="B113" s="13" t="n"/>
      <c r="C113" s="13" t="n"/>
      <c r="D113" s="14" t="n"/>
      <c r="E113" s="15" t="n"/>
      <c r="F113" s="14" t="n"/>
    </row>
    <row r="114">
      <c r="A114" s="13" t="n"/>
      <c r="B114" s="13" t="n"/>
      <c r="C114" s="13" t="n"/>
      <c r="D114" s="14" t="n"/>
      <c r="E114" s="15" t="n"/>
      <c r="F114" s="14" t="n"/>
    </row>
    <row r="115">
      <c r="A115" s="13" t="n"/>
      <c r="B115" s="13" t="n"/>
      <c r="C115" s="13" t="n"/>
      <c r="D115" s="14" t="n"/>
      <c r="E115" s="15" t="n"/>
      <c r="F115" s="14" t="n"/>
    </row>
    <row r="116">
      <c r="A116" s="13" t="n"/>
      <c r="B116" s="13" t="n"/>
      <c r="C116" s="13" t="n"/>
      <c r="D116" s="14" t="n"/>
      <c r="E116" s="15" t="n"/>
      <c r="F116" s="14" t="n"/>
    </row>
    <row r="117">
      <c r="A117" s="13" t="n"/>
      <c r="B117" s="13" t="n"/>
      <c r="C117" s="13" t="n"/>
      <c r="D117" s="14" t="n"/>
      <c r="E117" s="15" t="n"/>
      <c r="F117" s="14" t="n"/>
    </row>
    <row r="118">
      <c r="A118" s="13" t="n"/>
      <c r="B118" s="13" t="n"/>
      <c r="C118" s="13" t="n"/>
      <c r="D118" s="14" t="n"/>
      <c r="E118" s="15" t="n"/>
      <c r="F118" s="14" t="n"/>
    </row>
    <row r="119">
      <c r="A119" s="13" t="n"/>
      <c r="B119" s="13" t="n"/>
      <c r="C119" s="13" t="n"/>
      <c r="D119" s="14" t="n"/>
      <c r="E119" s="15" t="n"/>
      <c r="F119" s="14" t="n"/>
    </row>
    <row r="120">
      <c r="A120" s="13" t="n"/>
      <c r="B120" s="13" t="n"/>
      <c r="C120" s="13" t="n"/>
      <c r="D120" s="14" t="n"/>
      <c r="E120" s="15" t="n"/>
      <c r="F120" s="14" t="n"/>
    </row>
    <row r="121">
      <c r="A121" s="13" t="n"/>
      <c r="B121" s="13" t="n"/>
      <c r="C121" s="13" t="n"/>
      <c r="D121" s="14" t="n"/>
      <c r="E121" s="15" t="n"/>
      <c r="F121" s="14" t="n"/>
    </row>
    <row r="122">
      <c r="A122" s="13" t="n"/>
      <c r="B122" s="13" t="n"/>
      <c r="C122" s="13" t="n"/>
      <c r="D122" s="14" t="n"/>
      <c r="E122" s="15" t="n"/>
      <c r="F122" s="14" t="n"/>
    </row>
    <row r="123">
      <c r="A123" s="13" t="n"/>
      <c r="B123" s="13" t="n"/>
      <c r="C123" s="13" t="n"/>
      <c r="D123" s="14" t="n"/>
      <c r="E123" s="15" t="n"/>
      <c r="F123" s="14" t="n"/>
    </row>
    <row r="124">
      <c r="A124" s="13" t="n"/>
      <c r="B124" s="13" t="n"/>
      <c r="C124" s="13" t="n"/>
      <c r="D124" s="14" t="n"/>
      <c r="E124" s="15" t="n"/>
      <c r="F124" s="14" t="n"/>
    </row>
    <row r="125">
      <c r="A125" s="13" t="n"/>
      <c r="B125" s="13" t="n"/>
      <c r="C125" s="13" t="n"/>
      <c r="D125" s="14" t="n"/>
      <c r="E125" s="15" t="n"/>
      <c r="F125" s="14" t="n"/>
    </row>
    <row r="126">
      <c r="A126" s="13" t="n"/>
      <c r="B126" s="13" t="n"/>
      <c r="C126" s="13" t="n"/>
      <c r="D126" s="14" t="n"/>
      <c r="E126" s="15" t="n"/>
      <c r="F126" s="14" t="n"/>
    </row>
    <row r="127">
      <c r="A127" s="13" t="n"/>
      <c r="B127" s="13" t="n"/>
      <c r="C127" s="13" t="n"/>
      <c r="D127" s="14" t="n"/>
      <c r="E127" s="15" t="n"/>
      <c r="F127" s="14" t="n"/>
    </row>
    <row r="128">
      <c r="A128" s="13" t="n"/>
      <c r="B128" s="13" t="n"/>
      <c r="C128" s="13" t="n"/>
      <c r="D128" s="14" t="n"/>
      <c r="E128" s="15" t="n"/>
      <c r="F128" s="14" t="n"/>
    </row>
    <row r="129">
      <c r="A129" s="13" t="n"/>
      <c r="B129" s="13" t="n"/>
      <c r="C129" s="13" t="n"/>
      <c r="D129" s="14" t="n"/>
      <c r="E129" s="15" t="n"/>
      <c r="F129" s="14" t="n"/>
    </row>
    <row r="130">
      <c r="A130" s="13" t="n"/>
      <c r="B130" s="13" t="n"/>
      <c r="C130" s="13" t="n"/>
      <c r="D130" s="14" t="n"/>
      <c r="E130" s="15" t="n"/>
      <c r="F130" s="14" t="n"/>
    </row>
    <row r="131">
      <c r="A131" s="13" t="n"/>
      <c r="B131" s="13" t="n"/>
      <c r="C131" s="13" t="n"/>
      <c r="D131" s="14" t="n"/>
      <c r="E131" s="15" t="n"/>
      <c r="F131" s="14" t="n"/>
    </row>
    <row r="132">
      <c r="A132" s="13" t="n"/>
      <c r="B132" s="13" t="n"/>
      <c r="C132" s="13" t="n"/>
      <c r="D132" s="14" t="n"/>
      <c r="E132" s="15" t="n"/>
      <c r="F132" s="14" t="n"/>
    </row>
    <row r="133">
      <c r="A133" s="13" t="n"/>
      <c r="B133" s="13" t="n"/>
      <c r="C133" s="13" t="n"/>
      <c r="D133" s="14" t="n"/>
      <c r="E133" s="15" t="n"/>
      <c r="F133" s="14" t="n"/>
    </row>
    <row r="134">
      <c r="A134" s="13" t="n"/>
      <c r="B134" s="13" t="n"/>
      <c r="C134" s="13" t="n"/>
      <c r="D134" s="14" t="n"/>
      <c r="E134" s="15" t="n"/>
      <c r="F134" s="14" t="n"/>
    </row>
    <row r="135">
      <c r="A135" s="13" t="n"/>
      <c r="B135" s="13" t="n"/>
      <c r="C135" s="13" t="n"/>
      <c r="D135" s="14" t="n"/>
      <c r="E135" s="15" t="n"/>
      <c r="F135" s="14" t="n"/>
    </row>
    <row r="136">
      <c r="A136" s="13" t="n"/>
      <c r="B136" s="13" t="n"/>
      <c r="C136" s="13" t="n"/>
      <c r="D136" s="14" t="n"/>
      <c r="E136" s="15" t="n"/>
      <c r="F136" s="14" t="n"/>
    </row>
    <row r="137">
      <c r="A137" s="13" t="n"/>
      <c r="B137" s="13" t="n"/>
      <c r="C137" s="13" t="n"/>
      <c r="D137" s="14" t="n"/>
      <c r="E137" s="15" t="n"/>
      <c r="F137" s="14" t="n"/>
    </row>
    <row r="138">
      <c r="A138" s="13" t="n"/>
      <c r="B138" s="13" t="n"/>
      <c r="C138" s="13" t="n"/>
      <c r="D138" s="14" t="n"/>
      <c r="E138" s="15" t="n"/>
      <c r="F138" s="14" t="n"/>
    </row>
    <row r="139">
      <c r="A139" s="13" t="n"/>
      <c r="B139" s="13" t="n"/>
      <c r="C139" s="13" t="n"/>
      <c r="D139" s="14" t="n"/>
      <c r="E139" s="15" t="n"/>
      <c r="F139" s="14" t="n"/>
    </row>
    <row r="140">
      <c r="A140" s="13" t="n"/>
      <c r="B140" s="13" t="n"/>
      <c r="C140" s="13" t="n"/>
      <c r="D140" s="14" t="n"/>
      <c r="E140" s="15" t="n"/>
      <c r="F140" s="14" t="n"/>
    </row>
    <row r="141">
      <c r="A141" s="13" t="n"/>
      <c r="B141" s="13" t="n"/>
      <c r="C141" s="13" t="n"/>
      <c r="D141" s="14" t="n"/>
      <c r="E141" s="15" t="n"/>
      <c r="F141" s="14" t="n"/>
    </row>
    <row r="142">
      <c r="A142" s="13" t="n"/>
      <c r="B142" s="13" t="n"/>
      <c r="C142" s="13" t="n"/>
      <c r="D142" s="14" t="n"/>
      <c r="E142" s="15" t="n"/>
      <c r="F142" s="14" t="n"/>
    </row>
    <row r="143">
      <c r="A143" s="13" t="n"/>
      <c r="B143" s="13" t="n"/>
      <c r="C143" s="13" t="n"/>
      <c r="D143" s="14" t="n"/>
      <c r="E143" s="15" t="n"/>
      <c r="F143" s="14" t="n"/>
    </row>
    <row r="144">
      <c r="A144" s="13" t="n"/>
      <c r="B144" s="13" t="n"/>
      <c r="C144" s="13" t="n"/>
      <c r="D144" s="14" t="n"/>
      <c r="E144" s="15" t="n"/>
      <c r="F144" s="14" t="n"/>
    </row>
    <row r="145">
      <c r="A145" s="13" t="n"/>
      <c r="B145" s="13" t="n"/>
      <c r="C145" s="13" t="n"/>
      <c r="D145" s="14" t="n"/>
      <c r="E145" s="15" t="n"/>
      <c r="F145" s="14" t="n"/>
    </row>
    <row r="146">
      <c r="A146" s="13" t="n"/>
      <c r="B146" s="13" t="n"/>
      <c r="C146" s="13" t="n"/>
      <c r="D146" s="14" t="n"/>
      <c r="E146" s="15" t="n"/>
      <c r="F146" s="14" t="n"/>
    </row>
    <row r="147">
      <c r="A147" s="13" t="n"/>
      <c r="B147" s="13" t="n"/>
      <c r="C147" s="13" t="n"/>
      <c r="D147" s="14" t="n"/>
      <c r="E147" s="15" t="n"/>
      <c r="F147" s="14" t="n"/>
    </row>
    <row r="148">
      <c r="A148" s="13" t="n"/>
      <c r="B148" s="13" t="n"/>
      <c r="C148" s="13" t="n"/>
      <c r="D148" s="14" t="n"/>
      <c r="E148" s="15" t="n"/>
      <c r="F148" s="14" t="n"/>
    </row>
    <row r="149">
      <c r="A149" s="13" t="n"/>
      <c r="B149" s="13" t="n"/>
      <c r="C149" s="13" t="n"/>
      <c r="D149" s="14" t="n"/>
      <c r="E149" s="15" t="n"/>
      <c r="F149" s="14" t="n"/>
    </row>
    <row r="150">
      <c r="A150" s="13" t="n"/>
      <c r="B150" s="13" t="n"/>
      <c r="C150" s="13" t="n"/>
      <c r="D150" s="14" t="n"/>
      <c r="E150" s="15" t="n"/>
      <c r="F150" s="14" t="n"/>
    </row>
    <row r="151">
      <c r="A151" s="13" t="n"/>
      <c r="B151" s="13" t="n"/>
      <c r="C151" s="13" t="n"/>
      <c r="D151" s="14" t="n"/>
      <c r="E151" s="15" t="n"/>
      <c r="F151" s="14" t="n"/>
    </row>
    <row r="152">
      <c r="A152" s="13" t="n"/>
      <c r="B152" s="13" t="n"/>
      <c r="C152" s="13" t="n"/>
      <c r="D152" s="14" t="n"/>
      <c r="E152" s="15" t="n"/>
      <c r="F152" s="14" t="n"/>
    </row>
    <row r="153">
      <c r="A153" s="13" t="n"/>
      <c r="B153" s="13" t="n"/>
      <c r="C153" s="13" t="n"/>
      <c r="D153" s="14" t="n"/>
      <c r="E153" s="15" t="n"/>
      <c r="F153" s="14" t="n"/>
    </row>
    <row r="154">
      <c r="A154" s="13" t="n"/>
      <c r="B154" s="13" t="n"/>
      <c r="C154" s="13" t="n"/>
      <c r="D154" s="14" t="n"/>
      <c r="E154" s="15" t="n"/>
      <c r="F154" s="14" t="n"/>
    </row>
    <row r="155">
      <c r="A155" s="13" t="n"/>
      <c r="B155" s="13" t="n"/>
      <c r="C155" s="13" t="n"/>
      <c r="D155" s="14" t="n"/>
      <c r="E155" s="15" t="n"/>
      <c r="F155" s="14" t="n"/>
    </row>
    <row r="156">
      <c r="A156" s="13" t="n"/>
      <c r="B156" s="13" t="n"/>
      <c r="C156" s="13" t="n"/>
      <c r="D156" s="14" t="n"/>
      <c r="E156" s="15" t="n"/>
      <c r="F156" s="14" t="n"/>
    </row>
    <row r="157">
      <c r="A157" s="13" t="n"/>
      <c r="B157" s="13" t="n"/>
      <c r="C157" s="13" t="n"/>
      <c r="D157" s="14" t="n"/>
      <c r="E157" s="15" t="n"/>
      <c r="F157" s="14" t="n"/>
    </row>
    <row r="158">
      <c r="A158" s="13" t="n"/>
      <c r="B158" s="13" t="n"/>
      <c r="C158" s="13" t="n"/>
      <c r="D158" s="14" t="n"/>
      <c r="E158" s="15" t="n"/>
      <c r="F158" s="14" t="n"/>
    </row>
    <row r="159">
      <c r="A159" s="13" t="n"/>
      <c r="B159" s="13" t="n"/>
      <c r="C159" s="13" t="n"/>
      <c r="D159" s="14" t="n"/>
      <c r="E159" s="15" t="n"/>
      <c r="F159" s="14" t="n"/>
    </row>
    <row r="160">
      <c r="A160" s="13" t="n"/>
      <c r="B160" s="13" t="n"/>
      <c r="C160" s="13" t="n"/>
      <c r="D160" s="14" t="n"/>
      <c r="E160" s="15" t="n"/>
      <c r="F160" s="14" t="n"/>
    </row>
    <row r="161">
      <c r="A161" s="13" t="n"/>
      <c r="B161" s="13" t="n"/>
      <c r="C161" s="13" t="n"/>
      <c r="D161" s="14" t="n"/>
      <c r="E161" s="15" t="n"/>
      <c r="F161" s="14" t="n"/>
    </row>
    <row r="162">
      <c r="A162" s="13" t="n"/>
      <c r="B162" s="13" t="n"/>
      <c r="C162" s="13" t="n"/>
      <c r="D162" s="14" t="n"/>
      <c r="E162" s="15" t="n"/>
      <c r="F162" s="14" t="n"/>
    </row>
    <row r="163">
      <c r="A163" s="13" t="n"/>
      <c r="B163" s="13" t="n"/>
      <c r="C163" s="13" t="n"/>
      <c r="D163" s="14" t="n"/>
      <c r="E163" s="15" t="n"/>
      <c r="F163" s="14" t="n"/>
    </row>
    <row r="164">
      <c r="A164" s="13" t="n"/>
      <c r="B164" s="13" t="n"/>
      <c r="C164" s="13" t="n"/>
      <c r="D164" s="14" t="n"/>
      <c r="E164" s="15" t="n"/>
      <c r="F164" s="14" t="n"/>
    </row>
    <row r="165">
      <c r="A165" s="13" t="n"/>
      <c r="B165" s="13" t="n"/>
      <c r="C165" s="13" t="n"/>
      <c r="D165" s="14" t="n"/>
      <c r="E165" s="15" t="n"/>
      <c r="F165" s="14" t="n"/>
    </row>
    <row r="166">
      <c r="A166" s="13" t="n"/>
      <c r="B166" s="13" t="n"/>
      <c r="C166" s="13" t="n"/>
      <c r="D166" s="14" t="n"/>
      <c r="E166" s="15" t="n"/>
      <c r="F166" s="14" t="n"/>
    </row>
    <row r="167">
      <c r="A167" s="13" t="n"/>
      <c r="B167" s="13" t="n"/>
      <c r="C167" s="13" t="n"/>
      <c r="D167" s="14" t="n"/>
      <c r="E167" s="15" t="n"/>
      <c r="F167" s="14" t="n"/>
    </row>
    <row r="168">
      <c r="A168" s="13" t="n"/>
      <c r="B168" s="13" t="n"/>
      <c r="C168" s="13" t="n"/>
      <c r="D168" s="14" t="n"/>
      <c r="E168" s="15" t="n"/>
      <c r="F168" s="14" t="n"/>
    </row>
    <row r="169">
      <c r="A169" s="13" t="n"/>
      <c r="B169" s="13" t="n"/>
      <c r="C169" s="13" t="n"/>
      <c r="D169" s="14" t="n"/>
      <c r="E169" s="15" t="n"/>
      <c r="F169" s="14" t="n"/>
    </row>
    <row r="170">
      <c r="A170" s="13" t="n"/>
      <c r="B170" s="13" t="n"/>
      <c r="C170" s="13" t="n"/>
      <c r="D170" s="14" t="n"/>
      <c r="E170" s="15" t="n"/>
      <c r="F170" s="14" t="n"/>
    </row>
    <row r="171">
      <c r="A171" s="13" t="n"/>
      <c r="B171" s="13" t="n"/>
      <c r="C171" s="13" t="n"/>
      <c r="D171" s="14" t="n"/>
      <c r="E171" s="15" t="n"/>
      <c r="F171" s="14" t="n"/>
    </row>
    <row r="172">
      <c r="A172" s="13" t="n"/>
      <c r="B172" s="13" t="n"/>
      <c r="C172" s="13" t="n"/>
      <c r="D172" s="14" t="n"/>
      <c r="E172" s="15" t="n"/>
      <c r="F172" s="14" t="n"/>
    </row>
    <row r="173">
      <c r="A173" s="13" t="n"/>
      <c r="B173" s="13" t="n"/>
      <c r="C173" s="13" t="n"/>
      <c r="D173" s="14" t="n"/>
      <c r="E173" s="15" t="n"/>
      <c r="F173" s="14" t="n"/>
    </row>
    <row r="174">
      <c r="A174" s="13" t="n"/>
      <c r="B174" s="13" t="n"/>
      <c r="C174" s="13" t="n"/>
      <c r="D174" s="14" t="n"/>
      <c r="E174" s="15" t="n"/>
      <c r="F174" s="14" t="n"/>
    </row>
    <row r="175">
      <c r="A175" s="13" t="n"/>
      <c r="B175" s="13" t="n"/>
      <c r="C175" s="13" t="n"/>
      <c r="D175" s="14" t="n"/>
      <c r="E175" s="15" t="n"/>
      <c r="F175" s="14" t="n"/>
    </row>
    <row r="176">
      <c r="A176" s="13" t="n"/>
      <c r="B176" s="13" t="n"/>
      <c r="C176" s="13" t="n"/>
      <c r="D176" s="14" t="n"/>
      <c r="E176" s="15" t="n"/>
      <c r="F176" s="14" t="n"/>
    </row>
    <row r="177">
      <c r="A177" s="13" t="n"/>
      <c r="B177" s="13" t="n"/>
      <c r="C177" s="13" t="n"/>
      <c r="D177" s="14" t="n"/>
      <c r="E177" s="15" t="n"/>
      <c r="F177" s="14" t="n"/>
    </row>
    <row r="178">
      <c r="A178" s="13" t="n"/>
      <c r="B178" s="13" t="n"/>
      <c r="C178" s="13" t="n"/>
      <c r="D178" s="14" t="n"/>
      <c r="E178" s="15" t="n"/>
      <c r="F178" s="14" t="n"/>
    </row>
    <row r="179">
      <c r="A179" s="13" t="n"/>
      <c r="B179" s="13" t="n"/>
      <c r="C179" s="13" t="n"/>
      <c r="D179" s="14" t="n"/>
      <c r="E179" s="15" t="n"/>
      <c r="F179" s="14" t="n"/>
    </row>
    <row r="180">
      <c r="A180" s="13" t="n"/>
      <c r="B180" s="13" t="n"/>
      <c r="C180" s="13" t="n"/>
      <c r="D180" s="14" t="n"/>
      <c r="E180" s="15" t="n"/>
      <c r="F180" s="14" t="n"/>
    </row>
    <row r="181">
      <c r="A181" s="13" t="n"/>
      <c r="B181" s="13" t="n"/>
      <c r="C181" s="13" t="n"/>
      <c r="D181" s="14" t="n"/>
      <c r="E181" s="15" t="n"/>
      <c r="F181" s="14" t="n"/>
    </row>
    <row r="182">
      <c r="A182" s="13" t="n"/>
      <c r="B182" s="13" t="n"/>
      <c r="C182" s="13" t="n"/>
      <c r="D182" s="14" t="n"/>
      <c r="E182" s="15" t="n"/>
      <c r="F182" s="14" t="n"/>
    </row>
    <row r="183">
      <c r="A183" s="13" t="n"/>
      <c r="B183" s="13" t="n"/>
      <c r="C183" s="13" t="n"/>
      <c r="D183" s="14" t="n"/>
      <c r="E183" s="15" t="n"/>
      <c r="F183" s="14" t="n"/>
    </row>
    <row r="184">
      <c r="A184" s="13" t="n"/>
      <c r="B184" s="13" t="n"/>
      <c r="C184" s="13" t="n"/>
      <c r="D184" s="14" t="n"/>
      <c r="E184" s="15" t="n"/>
      <c r="F184" s="14" t="n"/>
    </row>
    <row r="185">
      <c r="A185" s="13" t="n"/>
      <c r="B185" s="13" t="n"/>
      <c r="C185" s="13" t="n"/>
      <c r="D185" s="14" t="n"/>
      <c r="E185" s="15" t="n"/>
      <c r="F185" s="14" t="n"/>
    </row>
    <row r="186">
      <c r="A186" s="13" t="n"/>
      <c r="B186" s="13" t="n"/>
      <c r="C186" s="13" t="n"/>
      <c r="D186" s="14" t="n"/>
      <c r="E186" s="15" t="n"/>
      <c r="F186" s="14" t="n"/>
    </row>
    <row r="187">
      <c r="A187" s="13" t="n"/>
      <c r="B187" s="13" t="n"/>
      <c r="C187" s="13" t="n"/>
      <c r="D187" s="14" t="n"/>
      <c r="E187" s="15" t="n"/>
      <c r="F187" s="14" t="n"/>
    </row>
    <row r="188">
      <c r="A188" s="13" t="n"/>
      <c r="B188" s="13" t="n"/>
      <c r="C188" s="13" t="n"/>
      <c r="D188" s="14" t="n"/>
      <c r="E188" s="15" t="n"/>
      <c r="F188" s="14" t="n"/>
    </row>
    <row r="189">
      <c r="A189" s="13" t="n"/>
      <c r="B189" s="13" t="n"/>
      <c r="C189" s="13" t="n"/>
      <c r="D189" s="14" t="n"/>
      <c r="E189" s="15" t="n"/>
      <c r="F189" s="14" t="n"/>
    </row>
    <row r="190">
      <c r="A190" s="13" t="n"/>
      <c r="B190" s="13" t="n"/>
      <c r="C190" s="13" t="n"/>
      <c r="D190" s="14" t="n"/>
      <c r="E190" s="15" t="n"/>
      <c r="F190" s="14" t="n"/>
    </row>
    <row r="191">
      <c r="A191" s="13" t="n"/>
      <c r="B191" s="13" t="n"/>
      <c r="C191" s="13" t="n"/>
      <c r="D191" s="14" t="n"/>
      <c r="E191" s="15" t="n"/>
      <c r="F191" s="14" t="n"/>
    </row>
    <row r="192">
      <c r="A192" s="13" t="n"/>
      <c r="B192" s="13" t="n"/>
      <c r="C192" s="13" t="n"/>
      <c r="D192" s="14" t="n"/>
      <c r="E192" s="15" t="n"/>
      <c r="F192" s="14" t="n"/>
    </row>
    <row r="193">
      <c r="A193" s="13" t="n"/>
      <c r="B193" s="13" t="n"/>
      <c r="C193" s="13" t="n"/>
      <c r="D193" s="14" t="n"/>
      <c r="E193" s="15" t="n"/>
      <c r="F193" s="14" t="n"/>
    </row>
    <row r="194">
      <c r="A194" s="13" t="n"/>
      <c r="B194" s="13" t="n"/>
      <c r="C194" s="13" t="n"/>
      <c r="D194" s="14" t="n"/>
      <c r="E194" s="15" t="n"/>
      <c r="F194" s="14" t="n"/>
    </row>
    <row r="195">
      <c r="A195" s="13" t="n"/>
      <c r="B195" s="13" t="n"/>
      <c r="C195" s="13" t="n"/>
      <c r="D195" s="14" t="n"/>
      <c r="E195" s="15" t="n"/>
      <c r="F195" s="14" t="n"/>
    </row>
    <row r="196">
      <c r="A196" s="13" t="n"/>
      <c r="B196" s="13" t="n"/>
      <c r="C196" s="13" t="n"/>
      <c r="D196" s="14" t="n"/>
      <c r="E196" s="15" t="n"/>
      <c r="F196" s="14" t="n"/>
    </row>
    <row r="197">
      <c r="A197" s="13" t="n"/>
      <c r="B197" s="13" t="n"/>
      <c r="C197" s="13" t="n"/>
      <c r="D197" s="14" t="n"/>
      <c r="E197" s="15" t="n"/>
      <c r="F197" s="14" t="n"/>
    </row>
    <row r="198">
      <c r="A198" s="13" t="n"/>
      <c r="B198" s="13" t="n"/>
      <c r="C198" s="13" t="n"/>
      <c r="D198" s="14" t="n"/>
      <c r="E198" s="15" t="n"/>
      <c r="F198" s="14" t="n"/>
    </row>
    <row r="199">
      <c r="A199" s="13" t="n"/>
      <c r="B199" s="13" t="n"/>
      <c r="C199" s="13" t="n"/>
      <c r="D199" s="14" t="n"/>
      <c r="E199" s="15" t="n"/>
      <c r="F199" s="14" t="n"/>
    </row>
    <row r="200">
      <c r="A200" s="13" t="n"/>
      <c r="B200" s="13" t="n"/>
      <c r="C200" s="13" t="n"/>
      <c r="D200" s="14" t="n"/>
      <c r="E200" s="15" t="n"/>
      <c r="F200" s="14" t="n"/>
    </row>
    <row r="201">
      <c r="A201" s="13" t="n"/>
      <c r="B201" s="13" t="n"/>
      <c r="C201" s="13" t="n"/>
      <c r="D201" s="14" t="n"/>
      <c r="E201" s="15" t="n"/>
      <c r="F201" s="14" t="n"/>
    </row>
    <row r="202">
      <c r="A202" s="13" t="n"/>
      <c r="B202" s="13" t="n"/>
      <c r="C202" s="13" t="n"/>
      <c r="D202" s="14" t="n"/>
      <c r="E202" s="15" t="n"/>
      <c r="F202" s="14" t="n"/>
    </row>
    <row r="203">
      <c r="A203" s="13" t="n"/>
      <c r="B203" s="13" t="n"/>
      <c r="C203" s="13" t="n"/>
      <c r="D203" s="14" t="n"/>
      <c r="E203" s="15" t="n"/>
      <c r="F203" s="14" t="n"/>
    </row>
    <row r="204">
      <c r="A204" s="13" t="n"/>
      <c r="B204" s="13" t="n"/>
      <c r="C204" s="13" t="n"/>
      <c r="D204" s="14" t="n"/>
      <c r="E204" s="15" t="n"/>
      <c r="F204" s="14" t="n"/>
    </row>
    <row r="205">
      <c r="A205" s="16" t="n"/>
      <c r="B205" s="16" t="n"/>
      <c r="C205" s="16" t="n"/>
    </row>
    <row r="206">
      <c r="A206" s="16" t="n"/>
      <c r="B206" s="16" t="n"/>
      <c r="C206" s="16" t="n"/>
    </row>
    <row r="207">
      <c r="A207" s="16" t="n"/>
      <c r="B207" s="16" t="n"/>
      <c r="C207" s="16" t="n"/>
    </row>
    <row r="208">
      <c r="A208" s="16" t="n"/>
      <c r="B208" s="16" t="n"/>
      <c r="C208" s="16" t="n"/>
    </row>
    <row r="209">
      <c r="A209" s="16" t="n"/>
      <c r="B209" s="16" t="n"/>
      <c r="C209" s="16" t="n"/>
    </row>
    <row r="210">
      <c r="A210" s="16" t="n"/>
      <c r="B210" s="16" t="n"/>
      <c r="C210" s="16" t="n"/>
    </row>
    <row r="211">
      <c r="A211" s="16" t="n"/>
      <c r="B211" s="16" t="n"/>
      <c r="C211" s="16" t="n"/>
    </row>
    <row r="212">
      <c r="A212" s="16" t="n"/>
      <c r="B212" s="16" t="n"/>
      <c r="C212" s="16" t="n"/>
    </row>
    <row r="213">
      <c r="A213" s="16" t="n"/>
      <c r="B213" s="16" t="n"/>
      <c r="C213" s="16" t="n"/>
    </row>
    <row r="214">
      <c r="A214" s="16" t="n"/>
      <c r="B214" s="16" t="n"/>
      <c r="C214" s="16" t="n"/>
    </row>
    <row r="215">
      <c r="A215" s="16" t="n"/>
      <c r="B215" s="16" t="n"/>
      <c r="C215" s="16" t="n"/>
    </row>
    <row r="216">
      <c r="A216" s="16" t="n"/>
      <c r="B216" s="16" t="n"/>
      <c r="C216" s="16" t="n"/>
    </row>
    <row r="217">
      <c r="A217" s="16" t="n"/>
      <c r="B217" s="16" t="n"/>
      <c r="C217" s="16" t="n"/>
    </row>
    <row r="218">
      <c r="A218" s="16" t="n"/>
      <c r="B218" s="16" t="n"/>
      <c r="C218" s="16" t="n"/>
    </row>
    <row r="219">
      <c r="A219" s="16" t="n"/>
      <c r="B219" s="16" t="n"/>
      <c r="C219" s="16" t="n"/>
    </row>
    <row r="220">
      <c r="A220" s="16" t="n"/>
      <c r="B220" s="16" t="n"/>
      <c r="C220" s="16" t="n"/>
    </row>
    <row r="221">
      <c r="A221" s="16" t="n"/>
      <c r="B221" s="16" t="n"/>
      <c r="C221" s="16" t="n"/>
    </row>
    <row r="222">
      <c r="A222" s="16" t="n"/>
      <c r="B222" s="16" t="n"/>
      <c r="C222" s="16" t="n"/>
    </row>
    <row r="223">
      <c r="A223" s="16" t="n"/>
      <c r="B223" s="16" t="n"/>
      <c r="C223" s="16" t="n"/>
    </row>
    <row r="224">
      <c r="A224" s="16" t="n"/>
      <c r="B224" s="16" t="n"/>
      <c r="C224" s="16" t="n"/>
    </row>
    <row r="225">
      <c r="A225" s="16" t="n"/>
      <c r="B225" s="16" t="n"/>
      <c r="C225" s="16" t="n"/>
    </row>
    <row r="226">
      <c r="A226" s="16" t="n"/>
      <c r="B226" s="16" t="n"/>
      <c r="C226" s="16" t="n"/>
    </row>
    <row r="227">
      <c r="A227" s="16" t="n"/>
      <c r="B227" s="16" t="n"/>
      <c r="C227" s="16" t="n"/>
    </row>
    <row r="228">
      <c r="A228" s="16" t="n"/>
      <c r="B228" s="16" t="n"/>
      <c r="C228" s="16" t="n"/>
    </row>
    <row r="229">
      <c r="A229" s="16" t="n"/>
      <c r="B229" s="16" t="n"/>
      <c r="C229" s="16" t="n"/>
    </row>
    <row r="230">
      <c r="A230" s="16" t="n"/>
      <c r="B230" s="16" t="n"/>
      <c r="C230" s="16" t="n"/>
    </row>
    <row r="231">
      <c r="A231" s="16" t="n"/>
      <c r="B231" s="16" t="n"/>
      <c r="C231" s="16" t="n"/>
    </row>
    <row r="232">
      <c r="A232" s="16" t="n"/>
      <c r="B232" s="16" t="n"/>
      <c r="C232" s="16" t="n"/>
    </row>
    <row r="233">
      <c r="A233" s="16" t="n"/>
      <c r="B233" s="16" t="n"/>
      <c r="C233" s="16" t="n"/>
    </row>
    <row r="234">
      <c r="A234" s="16" t="n"/>
      <c r="B234" s="16" t="n"/>
      <c r="C234" s="16" t="n"/>
    </row>
    <row r="235">
      <c r="A235" s="16" t="n"/>
      <c r="B235" s="16" t="n"/>
      <c r="C235" s="16" t="n"/>
    </row>
    <row r="236">
      <c r="A236" s="16" t="n"/>
      <c r="B236" s="16" t="n"/>
      <c r="C236" s="16" t="n"/>
    </row>
    <row r="237">
      <c r="A237" s="16" t="n"/>
      <c r="B237" s="16" t="n"/>
      <c r="C237" s="16" t="n"/>
    </row>
    <row r="238">
      <c r="A238" s="16" t="n"/>
      <c r="B238" s="16" t="n"/>
      <c r="C238" s="16" t="n"/>
    </row>
    <row r="239">
      <c r="A239" s="16" t="n"/>
      <c r="B239" s="16" t="n"/>
      <c r="C239" s="16" t="n"/>
    </row>
    <row r="240">
      <c r="A240" s="16" t="n"/>
      <c r="B240" s="16" t="n"/>
      <c r="C240" s="16" t="n"/>
    </row>
    <row r="241">
      <c r="A241" s="16" t="n"/>
      <c r="B241" s="16" t="n"/>
      <c r="C241" s="16" t="n"/>
    </row>
    <row r="242">
      <c r="A242" s="16" t="n"/>
      <c r="B242" s="16" t="n"/>
      <c r="C242" s="16" t="n"/>
    </row>
    <row r="243">
      <c r="A243" s="16" t="n"/>
      <c r="B243" s="16" t="n"/>
      <c r="C243" s="16" t="n"/>
    </row>
    <row r="244">
      <c r="A244" s="16" t="n"/>
      <c r="B244" s="16" t="n"/>
      <c r="C244" s="16" t="n"/>
    </row>
    <row r="245">
      <c r="A245" s="16" t="n"/>
      <c r="B245" s="16" t="n"/>
      <c r="C245" s="16" t="n"/>
    </row>
    <row r="246">
      <c r="A246" s="16" t="n"/>
      <c r="B246" s="16" t="n"/>
      <c r="C246" s="16" t="n"/>
    </row>
    <row r="247">
      <c r="A247" s="16" t="n"/>
      <c r="B247" s="16" t="n"/>
      <c r="C247" s="16" t="n"/>
    </row>
    <row r="248">
      <c r="A248" s="16" t="n"/>
      <c r="B248" s="16" t="n"/>
      <c r="C248" s="16" t="n"/>
    </row>
    <row r="249">
      <c r="A249" s="16" t="n"/>
      <c r="B249" s="16" t="n"/>
      <c r="C249" s="16" t="n"/>
    </row>
    <row r="250">
      <c r="A250" s="16" t="n"/>
      <c r="B250" s="16" t="n"/>
      <c r="C250" s="16" t="n"/>
    </row>
    <row r="251">
      <c r="A251" s="16" t="n"/>
      <c r="B251" s="16" t="n"/>
      <c r="C251" s="16" t="n"/>
    </row>
    <row r="252">
      <c r="A252" s="16" t="n"/>
      <c r="B252" s="16" t="n"/>
      <c r="C252" s="16" t="n"/>
    </row>
    <row r="253">
      <c r="A253" s="16" t="n"/>
      <c r="B253" s="16" t="n"/>
      <c r="C253" s="16" t="n"/>
    </row>
    <row r="254">
      <c r="A254" s="16" t="n"/>
      <c r="B254" s="16" t="n"/>
      <c r="C254" s="16" t="n"/>
    </row>
    <row r="255">
      <c r="A255" s="16" t="n"/>
      <c r="B255" s="16" t="n"/>
      <c r="C255" s="16" t="n"/>
    </row>
    <row r="256">
      <c r="A256" s="16" t="n"/>
      <c r="B256" s="16" t="n"/>
      <c r="C256" s="16" t="n"/>
    </row>
    <row r="257">
      <c r="A257" s="16" t="n"/>
      <c r="B257" s="16" t="n"/>
      <c r="C257" s="16" t="n"/>
    </row>
    <row r="258">
      <c r="A258" s="16" t="n"/>
      <c r="B258" s="16" t="n"/>
      <c r="C258" s="16" t="n"/>
    </row>
    <row r="259">
      <c r="A259" s="16" t="n"/>
      <c r="B259" s="16" t="n"/>
      <c r="C259" s="16" t="n"/>
    </row>
    <row r="260">
      <c r="A260" s="16" t="n"/>
      <c r="B260" s="16" t="n"/>
      <c r="C260" s="16" t="n"/>
    </row>
    <row r="261">
      <c r="A261" s="16" t="n"/>
      <c r="B261" s="16" t="n"/>
      <c r="C261" s="16" t="n"/>
    </row>
    <row r="262">
      <c r="A262" s="16" t="n"/>
      <c r="B262" s="16" t="n"/>
      <c r="C262" s="16" t="n"/>
    </row>
    <row r="263">
      <c r="A263" s="16" t="n"/>
      <c r="B263" s="16" t="n"/>
      <c r="C263" s="16" t="n"/>
    </row>
    <row r="264">
      <c r="A264" s="16" t="n"/>
      <c r="B264" s="16" t="n"/>
      <c r="C264" s="16" t="n"/>
    </row>
    <row r="265">
      <c r="A265" s="16" t="n"/>
      <c r="B265" s="16" t="n"/>
      <c r="C265" s="16" t="n"/>
    </row>
    <row r="266">
      <c r="A266" s="16" t="n"/>
      <c r="B266" s="16" t="n"/>
      <c r="C266" s="16" t="n"/>
    </row>
    <row r="267">
      <c r="A267" s="16" t="n"/>
      <c r="B267" s="16" t="n"/>
      <c r="C267" s="16" t="n"/>
    </row>
    <row r="268">
      <c r="A268" s="16" t="n"/>
      <c r="B268" s="16" t="n"/>
      <c r="C268" s="16" t="n"/>
    </row>
    <row r="269">
      <c r="A269" s="16" t="n"/>
      <c r="B269" s="16" t="n"/>
      <c r="C269" s="16" t="n"/>
    </row>
    <row r="270">
      <c r="A270" s="16" t="n"/>
      <c r="B270" s="16" t="n"/>
      <c r="C270" s="16" t="n"/>
    </row>
    <row r="271">
      <c r="A271" s="16" t="n"/>
      <c r="B271" s="16" t="n"/>
      <c r="C271" s="16" t="n"/>
    </row>
    <row r="272">
      <c r="A272" s="16" t="n"/>
      <c r="B272" s="16" t="n"/>
      <c r="C272" s="16" t="n"/>
    </row>
    <row r="273">
      <c r="A273" s="16" t="n"/>
      <c r="B273" s="16" t="n"/>
      <c r="C273" s="16" t="n"/>
    </row>
    <row r="274">
      <c r="A274" s="16" t="n"/>
      <c r="B274" s="16" t="n"/>
      <c r="C274" s="16" t="n"/>
    </row>
    <row r="275">
      <c r="A275" s="16" t="n"/>
      <c r="B275" s="16" t="n"/>
      <c r="C275" s="16" t="n"/>
    </row>
    <row r="276">
      <c r="A276" s="16" t="n"/>
      <c r="B276" s="16" t="n"/>
      <c r="C276" s="16" t="n"/>
    </row>
    <row r="277">
      <c r="A277" s="16" t="n"/>
      <c r="B277" s="16" t="n"/>
      <c r="C277" s="16" t="n"/>
    </row>
    <row r="278">
      <c r="A278" s="16" t="n"/>
      <c r="B278" s="16" t="n"/>
      <c r="C278" s="16" t="n"/>
    </row>
    <row r="279">
      <c r="A279" s="16" t="n"/>
      <c r="B279" s="16" t="n"/>
      <c r="C279" s="16" t="n"/>
    </row>
    <row r="280">
      <c r="A280" s="16" t="n"/>
      <c r="B280" s="16" t="n"/>
      <c r="C280" s="16" t="n"/>
    </row>
    <row r="281">
      <c r="A281" s="16" t="n"/>
      <c r="B281" s="16" t="n"/>
      <c r="C281" s="16" t="n"/>
    </row>
    <row r="282">
      <c r="A282" s="16" t="n"/>
      <c r="B282" s="16" t="n"/>
      <c r="C282" s="16" t="n"/>
    </row>
    <row r="283">
      <c r="A283" s="16" t="n"/>
      <c r="B283" s="16" t="n"/>
      <c r="C283" s="16" t="n"/>
    </row>
    <row r="284">
      <c r="A284" s="16" t="n"/>
      <c r="B284" s="16" t="n"/>
      <c r="C284" s="16" t="n"/>
    </row>
    <row r="285">
      <c r="A285" s="16" t="n"/>
      <c r="B285" s="16" t="n"/>
      <c r="C285" s="16" t="n"/>
    </row>
    <row r="286">
      <c r="A286" s="16" t="n"/>
      <c r="B286" s="16" t="n"/>
      <c r="C286" s="16" t="n"/>
    </row>
    <row r="287">
      <c r="A287" s="16" t="n"/>
      <c r="B287" s="16" t="n"/>
      <c r="C287" s="16" t="n"/>
    </row>
    <row r="288">
      <c r="A288" s="16" t="n"/>
      <c r="B288" s="16" t="n"/>
      <c r="C288" s="16" t="n"/>
    </row>
    <row r="289">
      <c r="A289" s="16" t="n"/>
      <c r="B289" s="16" t="n"/>
      <c r="C289" s="16" t="n"/>
    </row>
    <row r="290">
      <c r="A290" s="16" t="n"/>
      <c r="B290" s="16" t="n"/>
      <c r="C290" s="16" t="n"/>
    </row>
    <row r="291">
      <c r="A291" s="16" t="n"/>
      <c r="B291" s="16" t="n"/>
      <c r="C291" s="16" t="n"/>
    </row>
    <row r="292">
      <c r="A292" s="16" t="n"/>
      <c r="B292" s="16" t="n"/>
      <c r="C292" s="16" t="n"/>
    </row>
    <row r="293">
      <c r="A293" s="16" t="n"/>
      <c r="B293" s="16" t="n"/>
      <c r="C293" s="16" t="n"/>
    </row>
    <row r="294">
      <c r="A294" s="16" t="n"/>
      <c r="B294" s="16" t="n"/>
      <c r="C294" s="16" t="n"/>
    </row>
    <row r="295">
      <c r="A295" s="16" t="n"/>
      <c r="B295" s="16" t="n"/>
      <c r="C295" s="16" t="n"/>
    </row>
    <row r="296">
      <c r="A296" s="16" t="n"/>
      <c r="B296" s="16" t="n"/>
      <c r="C296" s="16" t="n"/>
    </row>
    <row r="297">
      <c r="A297" s="16" t="n"/>
      <c r="B297" s="16" t="n"/>
      <c r="C297" s="16" t="n"/>
    </row>
    <row r="298">
      <c r="A298" s="16" t="n"/>
      <c r="B298" s="16" t="n"/>
      <c r="C298" s="16" t="n"/>
    </row>
    <row r="299">
      <c r="A299" s="16" t="n"/>
      <c r="B299" s="16" t="n"/>
      <c r="C299" s="16" t="n"/>
    </row>
    <row r="300">
      <c r="A300" s="16" t="n"/>
      <c r="B300" s="16" t="n"/>
      <c r="C300" s="16" t="n"/>
    </row>
    <row r="301">
      <c r="A301" s="16" t="n"/>
      <c r="B301" s="16" t="n"/>
      <c r="C301" s="16" t="n"/>
    </row>
    <row r="302">
      <c r="A302" s="16" t="n"/>
      <c r="B302" s="16" t="n"/>
      <c r="C302" s="16" t="n"/>
    </row>
    <row r="303">
      <c r="A303" s="16" t="n"/>
      <c r="B303" s="16" t="n"/>
      <c r="C303" s="16" t="n"/>
    </row>
    <row r="304">
      <c r="A304" s="16" t="n"/>
      <c r="B304" s="16" t="n"/>
      <c r="C304" s="16" t="n"/>
    </row>
    <row r="305">
      <c r="A305" s="16" t="n"/>
      <c r="B305" s="16" t="n"/>
      <c r="C305" s="16" t="n"/>
    </row>
    <row r="306">
      <c r="A306" s="16" t="n"/>
      <c r="B306" s="16" t="n"/>
      <c r="C306" s="16" t="n"/>
    </row>
    <row r="307">
      <c r="A307" s="16" t="n"/>
      <c r="B307" s="16" t="n"/>
      <c r="C307" s="16" t="n"/>
    </row>
    <row r="308">
      <c r="A308" s="16" t="n"/>
      <c r="B308" s="16" t="n"/>
      <c r="C308" s="16" t="n"/>
    </row>
    <row r="309">
      <c r="A309" s="16" t="n"/>
      <c r="B309" s="16" t="n"/>
      <c r="C309" s="16" t="n"/>
    </row>
    <row r="310">
      <c r="A310" s="16" t="n"/>
      <c r="B310" s="16" t="n"/>
      <c r="C310" s="16" t="n"/>
    </row>
    <row r="311">
      <c r="A311" s="16" t="n"/>
      <c r="B311" s="16" t="n"/>
      <c r="C311" s="16" t="n"/>
    </row>
    <row r="312">
      <c r="A312" s="16" t="n"/>
      <c r="B312" s="16" t="n"/>
      <c r="C312" s="16" t="n"/>
    </row>
    <row r="313">
      <c r="A313" s="16" t="n"/>
      <c r="B313" s="16" t="n"/>
      <c r="C313" s="16" t="n"/>
    </row>
    <row r="314">
      <c r="A314" s="16" t="n"/>
      <c r="B314" s="16" t="n"/>
      <c r="C314" s="16" t="n"/>
    </row>
    <row r="315">
      <c r="A315" s="16" t="n"/>
      <c r="B315" s="16" t="n"/>
      <c r="C315" s="16" t="n"/>
    </row>
    <row r="316">
      <c r="A316" s="16" t="n"/>
      <c r="B316" s="16" t="n"/>
      <c r="C316" s="16" t="n"/>
    </row>
    <row r="317">
      <c r="A317" s="16" t="n"/>
      <c r="B317" s="16" t="n"/>
      <c r="C317" s="16" t="n"/>
    </row>
    <row r="318">
      <c r="A318" s="16" t="n"/>
      <c r="B318" s="16" t="n"/>
      <c r="C318" s="16" t="n"/>
    </row>
    <row r="319">
      <c r="A319" s="16" t="n"/>
      <c r="B319" s="16" t="n"/>
      <c r="C319" s="16" t="n"/>
    </row>
    <row r="320">
      <c r="A320" s="16" t="n"/>
      <c r="B320" s="16" t="n"/>
      <c r="C320" s="16" t="n"/>
    </row>
    <row r="321">
      <c r="A321" s="16" t="n"/>
      <c r="B321" s="16" t="n"/>
      <c r="C321" s="16" t="n"/>
    </row>
    <row r="322">
      <c r="A322" s="16" t="n"/>
      <c r="B322" s="16" t="n"/>
      <c r="C322" s="16" t="n"/>
    </row>
    <row r="323">
      <c r="A323" s="16" t="n"/>
      <c r="B323" s="16" t="n"/>
      <c r="C323" s="16" t="n"/>
    </row>
    <row r="324">
      <c r="A324" s="16" t="n"/>
      <c r="B324" s="16" t="n"/>
      <c r="C324" s="16" t="n"/>
    </row>
    <row r="325">
      <c r="A325" s="16" t="n"/>
      <c r="B325" s="16" t="n"/>
      <c r="C325" s="16" t="n"/>
    </row>
    <row r="326">
      <c r="A326" s="16" t="n"/>
      <c r="B326" s="16" t="n"/>
      <c r="C326" s="16" t="n"/>
    </row>
    <row r="327">
      <c r="A327" s="16" t="n"/>
      <c r="B327" s="16" t="n"/>
      <c r="C327" s="16" t="n"/>
    </row>
    <row r="328">
      <c r="A328" s="16" t="n"/>
      <c r="B328" s="16" t="n"/>
      <c r="C328" s="16" t="n"/>
    </row>
    <row r="329">
      <c r="A329" s="16" t="n"/>
      <c r="B329" s="16" t="n"/>
      <c r="C329" s="16" t="n"/>
    </row>
    <row r="330">
      <c r="A330" s="16" t="n"/>
      <c r="B330" s="16" t="n"/>
      <c r="C330" s="16" t="n"/>
    </row>
    <row r="331">
      <c r="A331" s="16" t="n"/>
      <c r="B331" s="16" t="n"/>
      <c r="C331" s="16" t="n"/>
    </row>
    <row r="332">
      <c r="A332" s="16" t="n"/>
      <c r="B332" s="16" t="n"/>
      <c r="C332" s="16" t="n"/>
    </row>
    <row r="333">
      <c r="A333" s="16" t="n"/>
      <c r="B333" s="16" t="n"/>
      <c r="C333" s="16" t="n"/>
    </row>
    <row r="334">
      <c r="A334" s="16" t="n"/>
      <c r="B334" s="16" t="n"/>
      <c r="C334" s="16" t="n"/>
    </row>
    <row r="335">
      <c r="A335" s="16" t="n"/>
      <c r="B335" s="16" t="n"/>
      <c r="C335" s="16" t="n"/>
    </row>
    <row r="336">
      <c r="A336" s="16" t="n"/>
      <c r="B336" s="16" t="n"/>
      <c r="C336" s="16" t="n"/>
    </row>
    <row r="337">
      <c r="A337" s="16" t="n"/>
      <c r="B337" s="16" t="n"/>
      <c r="C337" s="16" t="n"/>
    </row>
    <row r="338">
      <c r="A338" s="16" t="n"/>
      <c r="B338" s="16" t="n"/>
      <c r="C338" s="16" t="n"/>
    </row>
    <row r="339">
      <c r="A339" s="16" t="n"/>
      <c r="B339" s="16" t="n"/>
      <c r="C339" s="16" t="n"/>
    </row>
    <row r="340">
      <c r="A340" s="16" t="n"/>
      <c r="B340" s="16" t="n"/>
      <c r="C340" s="16" t="n"/>
    </row>
    <row r="341">
      <c r="A341" s="16" t="n"/>
      <c r="B341" s="16" t="n"/>
      <c r="C341" s="16" t="n"/>
    </row>
    <row r="342">
      <c r="A342" s="16" t="n"/>
      <c r="B342" s="16" t="n"/>
      <c r="C342" s="16" t="n"/>
    </row>
    <row r="343">
      <c r="A343" s="16" t="n"/>
      <c r="B343" s="16" t="n"/>
      <c r="C343" s="16" t="n"/>
    </row>
    <row r="344">
      <c r="A344" s="16" t="n"/>
      <c r="B344" s="16" t="n"/>
      <c r="C344" s="16" t="n"/>
    </row>
    <row r="345">
      <c r="A345" s="16" t="n"/>
      <c r="B345" s="16" t="n"/>
      <c r="C345" s="16" t="n"/>
    </row>
    <row r="346">
      <c r="A346" s="16" t="n"/>
      <c r="B346" s="16" t="n"/>
      <c r="C346" s="16" t="n"/>
    </row>
    <row r="347">
      <c r="A347" s="16" t="n"/>
      <c r="B347" s="16" t="n"/>
      <c r="C347" s="16" t="n"/>
    </row>
    <row r="348">
      <c r="A348" s="16" t="n"/>
      <c r="B348" s="16" t="n"/>
      <c r="C348" s="16" t="n"/>
    </row>
    <row r="349">
      <c r="A349" s="16" t="n"/>
      <c r="B349" s="16" t="n"/>
      <c r="C349" s="16" t="n"/>
    </row>
    <row r="350">
      <c r="A350" s="16" t="n"/>
      <c r="B350" s="16" t="n"/>
      <c r="C350" s="16" t="n"/>
    </row>
    <row r="351">
      <c r="A351" s="16" t="n"/>
      <c r="B351" s="16" t="n"/>
      <c r="C351" s="16" t="n"/>
    </row>
    <row r="352">
      <c r="A352" s="16" t="n"/>
      <c r="B352" s="16" t="n"/>
      <c r="C352" s="16" t="n"/>
    </row>
    <row r="353">
      <c r="A353" s="16" t="n"/>
      <c r="B353" s="16" t="n"/>
      <c r="C353" s="16" t="n"/>
    </row>
    <row r="354">
      <c r="A354" s="16" t="n"/>
      <c r="B354" s="16" t="n"/>
      <c r="C354" s="16" t="n"/>
    </row>
    <row r="355">
      <c r="A355" s="16" t="n"/>
      <c r="B355" s="16" t="n"/>
      <c r="C355" s="16" t="n"/>
    </row>
    <row r="356">
      <c r="A356" s="16" t="n"/>
      <c r="B356" s="16" t="n"/>
      <c r="C356" s="16" t="n"/>
    </row>
    <row r="357">
      <c r="A357" s="16" t="n"/>
      <c r="B357" s="16" t="n"/>
      <c r="C357" s="16" t="n"/>
    </row>
    <row r="358">
      <c r="A358" s="16" t="n"/>
      <c r="B358" s="16" t="n"/>
      <c r="C358" s="16" t="n"/>
    </row>
    <row r="359">
      <c r="A359" s="16" t="n"/>
      <c r="B359" s="16" t="n"/>
      <c r="C359" s="16" t="n"/>
    </row>
    <row r="360">
      <c r="A360" s="16" t="n"/>
      <c r="B360" s="16" t="n"/>
      <c r="C360" s="16" t="n"/>
    </row>
    <row r="361">
      <c r="A361" s="16" t="n"/>
      <c r="B361" s="16" t="n"/>
      <c r="C361" s="16" t="n"/>
    </row>
    <row r="362">
      <c r="A362" s="16" t="n"/>
      <c r="B362" s="16" t="n"/>
      <c r="C362" s="16" t="n"/>
    </row>
    <row r="363">
      <c r="A363" s="16" t="n"/>
      <c r="B363" s="16" t="n"/>
      <c r="C363" s="16" t="n"/>
    </row>
    <row r="364">
      <c r="A364" s="16" t="n"/>
      <c r="B364" s="16" t="n"/>
      <c r="C364" s="16" t="n"/>
    </row>
    <row r="365">
      <c r="A365" s="16" t="n"/>
      <c r="B365" s="16" t="n"/>
      <c r="C365" s="16" t="n"/>
    </row>
    <row r="366">
      <c r="A366" s="16" t="n"/>
      <c r="B366" s="16" t="n"/>
      <c r="C366" s="16" t="n"/>
    </row>
    <row r="367">
      <c r="A367" s="16" t="n"/>
      <c r="B367" s="16" t="n"/>
      <c r="C367" s="16" t="n"/>
    </row>
    <row r="368">
      <c r="A368" s="16" t="n"/>
      <c r="B368" s="16" t="n"/>
      <c r="C368" s="16" t="n"/>
    </row>
    <row r="369">
      <c r="A369" s="16" t="n"/>
      <c r="B369" s="16" t="n"/>
      <c r="C369" s="16" t="n"/>
    </row>
    <row r="370">
      <c r="A370" s="16" t="n"/>
      <c r="B370" s="16" t="n"/>
      <c r="C370" s="16" t="n"/>
    </row>
    <row r="371">
      <c r="A371" s="16" t="n"/>
      <c r="B371" s="16" t="n"/>
      <c r="C371" s="16" t="n"/>
    </row>
    <row r="372">
      <c r="A372" s="16" t="n"/>
      <c r="B372" s="16" t="n"/>
      <c r="C372" s="16" t="n"/>
    </row>
    <row r="373">
      <c r="A373" s="16" t="n"/>
      <c r="B373" s="16" t="n"/>
      <c r="C373" s="16" t="n"/>
    </row>
    <row r="374">
      <c r="A374" s="16" t="n"/>
      <c r="B374" s="16" t="n"/>
      <c r="C374" s="16" t="n"/>
    </row>
    <row r="375">
      <c r="A375" s="16" t="n"/>
      <c r="B375" s="16" t="n"/>
      <c r="C375" s="16" t="n"/>
    </row>
    <row r="376">
      <c r="A376" s="16" t="n"/>
      <c r="B376" s="16" t="n"/>
      <c r="C376" s="16" t="n"/>
    </row>
    <row r="377">
      <c r="A377" s="16" t="n"/>
      <c r="B377" s="16" t="n"/>
      <c r="C377" s="16" t="n"/>
    </row>
    <row r="378">
      <c r="A378" s="16" t="n"/>
      <c r="B378" s="16" t="n"/>
      <c r="C378" s="16" t="n"/>
    </row>
    <row r="379">
      <c r="A379" s="16" t="n"/>
      <c r="B379" s="16" t="n"/>
      <c r="C379" s="16" t="n"/>
    </row>
    <row r="380">
      <c r="A380" s="16" t="n"/>
      <c r="B380" s="16" t="n"/>
      <c r="C380" s="16" t="n"/>
    </row>
    <row r="381">
      <c r="A381" s="16" t="n"/>
      <c r="B381" s="16" t="n"/>
      <c r="C381" s="16" t="n"/>
    </row>
    <row r="382">
      <c r="A382" s="16" t="n"/>
      <c r="B382" s="16" t="n"/>
      <c r="C382" s="16" t="n"/>
    </row>
    <row r="383">
      <c r="A383" s="16" t="n"/>
      <c r="B383" s="16" t="n"/>
      <c r="C383" s="16" t="n"/>
    </row>
    <row r="384">
      <c r="A384" s="16" t="n"/>
      <c r="B384" s="16" t="n"/>
      <c r="C384" s="16" t="n"/>
    </row>
    <row r="385">
      <c r="A385" s="16" t="n"/>
      <c r="B385" s="16" t="n"/>
      <c r="C385" s="16" t="n"/>
    </row>
    <row r="386">
      <c r="A386" s="16" t="n"/>
      <c r="B386" s="16" t="n"/>
      <c r="C386" s="16" t="n"/>
    </row>
    <row r="387">
      <c r="A387" s="16" t="n"/>
      <c r="B387" s="16" t="n"/>
      <c r="C387" s="16" t="n"/>
    </row>
    <row r="388">
      <c r="A388" s="16" t="n"/>
      <c r="B388" s="16" t="n"/>
      <c r="C388" s="16" t="n"/>
    </row>
    <row r="389">
      <c r="A389" s="16" t="n"/>
      <c r="B389" s="16" t="n"/>
      <c r="C389" s="16" t="n"/>
    </row>
    <row r="390">
      <c r="A390" s="16" t="n"/>
      <c r="B390" s="16" t="n"/>
      <c r="C390" s="16" t="n"/>
    </row>
    <row r="391">
      <c r="A391" s="16" t="n"/>
      <c r="B391" s="16" t="n"/>
      <c r="C391" s="16" t="n"/>
    </row>
    <row r="392">
      <c r="A392" s="16" t="n"/>
      <c r="B392" s="16" t="n"/>
      <c r="C392" s="16" t="n"/>
    </row>
    <row r="393">
      <c r="A393" s="16" t="n"/>
      <c r="B393" s="16" t="n"/>
      <c r="C393" s="16" t="n"/>
    </row>
    <row r="394">
      <c r="A394" s="16" t="n"/>
      <c r="B394" s="16" t="n"/>
      <c r="C394" s="16" t="n"/>
    </row>
    <row r="395">
      <c r="A395" s="16" t="n"/>
      <c r="B395" s="16" t="n"/>
      <c r="C395" s="16" t="n"/>
    </row>
    <row r="396">
      <c r="A396" s="16" t="n"/>
      <c r="B396" s="16" t="n"/>
      <c r="C396" s="16" t="n"/>
    </row>
    <row r="397">
      <c r="A397" s="16" t="n"/>
      <c r="B397" s="16" t="n"/>
      <c r="C397" s="16" t="n"/>
    </row>
    <row r="398">
      <c r="A398" s="16" t="n"/>
      <c r="B398" s="16" t="n"/>
      <c r="C398" s="16" t="n"/>
    </row>
    <row r="399">
      <c r="A399" s="16" t="n"/>
      <c r="B399" s="16" t="n"/>
      <c r="C399" s="16" t="n"/>
    </row>
    <row r="400">
      <c r="A400" s="16" t="n"/>
      <c r="B400" s="16" t="n"/>
      <c r="C400" s="16" t="n"/>
    </row>
    <row r="401">
      <c r="A401" s="16" t="n"/>
      <c r="B401" s="16" t="n"/>
      <c r="C401" s="16" t="n"/>
    </row>
    <row r="402">
      <c r="A402" s="16" t="n"/>
      <c r="B402" s="16" t="n"/>
      <c r="C402" s="16" t="n"/>
    </row>
    <row r="403">
      <c r="A403" s="16" t="n"/>
      <c r="B403" s="16" t="n"/>
      <c r="C403" s="16" t="n"/>
    </row>
    <row r="404">
      <c r="A404" s="16" t="n"/>
      <c r="B404" s="16" t="n"/>
      <c r="C404" s="16" t="n"/>
    </row>
    <row r="405">
      <c r="A405" s="16" t="n"/>
      <c r="B405" s="16" t="n"/>
      <c r="C405" s="16" t="n"/>
    </row>
    <row r="406">
      <c r="A406" s="16" t="n"/>
      <c r="B406" s="16" t="n"/>
      <c r="C406" s="16" t="n"/>
    </row>
    <row r="407">
      <c r="A407" s="16" t="n"/>
      <c r="B407" s="16" t="n"/>
      <c r="C407" s="16" t="n"/>
    </row>
    <row r="408">
      <c r="A408" s="16" t="n"/>
      <c r="B408" s="16" t="n"/>
      <c r="C408" s="16" t="n"/>
    </row>
    <row r="409">
      <c r="A409" s="16" t="n"/>
      <c r="B409" s="16" t="n"/>
      <c r="C409" s="16" t="n"/>
    </row>
    <row r="410">
      <c r="A410" s="16" t="n"/>
      <c r="B410" s="16" t="n"/>
      <c r="C410" s="16" t="n"/>
    </row>
    <row r="411">
      <c r="A411" s="16" t="n"/>
      <c r="B411" s="16" t="n"/>
      <c r="C411" s="16" t="n"/>
    </row>
    <row r="412">
      <c r="A412" s="16" t="n"/>
      <c r="B412" s="16" t="n"/>
      <c r="C412" s="16" t="n"/>
    </row>
    <row r="413">
      <c r="A413" s="16" t="n"/>
      <c r="B413" s="16" t="n"/>
      <c r="C413" s="16" t="n"/>
    </row>
    <row r="414">
      <c r="A414" s="16" t="n"/>
      <c r="B414" s="16" t="n"/>
      <c r="C414" s="16" t="n"/>
    </row>
    <row r="415">
      <c r="A415" s="16" t="n"/>
      <c r="B415" s="16" t="n"/>
      <c r="C415" s="16" t="n"/>
    </row>
    <row r="416">
      <c r="A416" s="16" t="n"/>
      <c r="B416" s="16" t="n"/>
      <c r="C416" s="16" t="n"/>
    </row>
    <row r="417">
      <c r="A417" s="16" t="n"/>
      <c r="B417" s="16" t="n"/>
      <c r="C417" s="16" t="n"/>
    </row>
    <row r="418">
      <c r="A418" s="16" t="n"/>
      <c r="B418" s="16" t="n"/>
      <c r="C418" s="16" t="n"/>
    </row>
    <row r="419">
      <c r="A419" s="16" t="n"/>
      <c r="B419" s="16" t="n"/>
      <c r="C419" s="16" t="n"/>
    </row>
    <row r="420">
      <c r="A420" s="16" t="n"/>
      <c r="B420" s="16" t="n"/>
      <c r="C420" s="16" t="n"/>
    </row>
    <row r="421">
      <c r="A421" s="16" t="n"/>
      <c r="B421" s="16" t="n"/>
      <c r="C421" s="16" t="n"/>
    </row>
    <row r="422">
      <c r="A422" s="16" t="n"/>
      <c r="B422" s="16" t="n"/>
      <c r="C422" s="16" t="n"/>
    </row>
    <row r="423">
      <c r="A423" s="16" t="n"/>
      <c r="B423" s="16" t="n"/>
      <c r="C423" s="16" t="n"/>
    </row>
    <row r="424">
      <c r="A424" s="16" t="n"/>
      <c r="B424" s="16" t="n"/>
      <c r="C424" s="16" t="n"/>
    </row>
    <row r="425">
      <c r="A425" s="16" t="n"/>
      <c r="B425" s="16" t="n"/>
      <c r="C425" s="16" t="n"/>
    </row>
    <row r="426">
      <c r="A426" s="16" t="n"/>
      <c r="B426" s="16" t="n"/>
      <c r="C426" s="16" t="n"/>
    </row>
    <row r="427">
      <c r="A427" s="16" t="n"/>
      <c r="B427" s="16" t="n"/>
      <c r="C427" s="16" t="n"/>
    </row>
    <row r="428">
      <c r="A428" s="16" t="n"/>
      <c r="B428" s="16" t="n"/>
      <c r="C428" s="16" t="n"/>
    </row>
    <row r="429">
      <c r="A429" s="16" t="n"/>
      <c r="B429" s="16" t="n"/>
      <c r="C429" s="16" t="n"/>
    </row>
    <row r="430">
      <c r="A430" s="16" t="n"/>
      <c r="B430" s="16" t="n"/>
      <c r="C430" s="16" t="n"/>
    </row>
    <row r="431">
      <c r="A431" s="16" t="n"/>
      <c r="B431" s="16" t="n"/>
      <c r="C431" s="16" t="n"/>
    </row>
    <row r="432">
      <c r="A432" s="16" t="n"/>
      <c r="B432" s="16" t="n"/>
      <c r="C432" s="16" t="n"/>
    </row>
    <row r="433">
      <c r="A433" s="16" t="n"/>
      <c r="B433" s="16" t="n"/>
      <c r="C433" s="16" t="n"/>
    </row>
    <row r="434">
      <c r="A434" s="16" t="n"/>
      <c r="B434" s="16" t="n"/>
      <c r="C434" s="16" t="n"/>
    </row>
    <row r="435">
      <c r="A435" s="16" t="n"/>
      <c r="B435" s="16" t="n"/>
      <c r="C435" s="16" t="n"/>
    </row>
    <row r="436">
      <c r="A436" s="16" t="n"/>
      <c r="B436" s="16" t="n"/>
      <c r="C436" s="16" t="n"/>
    </row>
    <row r="437">
      <c r="A437" s="16" t="n"/>
      <c r="B437" s="16" t="n"/>
      <c r="C437" s="16" t="n"/>
    </row>
    <row r="438">
      <c r="A438" s="16" t="n"/>
      <c r="B438" s="16" t="n"/>
      <c r="C438" s="16" t="n"/>
    </row>
    <row r="439">
      <c r="A439" s="16" t="n"/>
      <c r="B439" s="16" t="n"/>
      <c r="C439" s="16" t="n"/>
    </row>
    <row r="440">
      <c r="A440" s="16" t="n"/>
      <c r="B440" s="16" t="n"/>
      <c r="C440" s="16" t="n"/>
    </row>
    <row r="441">
      <c r="A441" s="16" t="n"/>
      <c r="B441" s="16" t="n"/>
      <c r="C441" s="16" t="n"/>
    </row>
    <row r="442">
      <c r="A442" s="16" t="n"/>
      <c r="B442" s="16" t="n"/>
      <c r="C442" s="16" t="n"/>
    </row>
    <row r="443">
      <c r="A443" s="16" t="n"/>
      <c r="B443" s="16" t="n"/>
      <c r="C443" s="16" t="n"/>
    </row>
    <row r="444">
      <c r="A444" s="16" t="n"/>
      <c r="B444" s="16" t="n"/>
      <c r="C444" s="16" t="n"/>
    </row>
    <row r="445">
      <c r="A445" s="16" t="n"/>
      <c r="B445" s="16" t="n"/>
      <c r="C445" s="16" t="n"/>
    </row>
    <row r="446">
      <c r="A446" s="16" t="n"/>
      <c r="B446" s="16" t="n"/>
      <c r="C446" s="16" t="n"/>
    </row>
    <row r="447">
      <c r="A447" s="16" t="n"/>
      <c r="B447" s="16" t="n"/>
      <c r="C447" s="16" t="n"/>
    </row>
    <row r="448">
      <c r="A448" s="16" t="n"/>
      <c r="B448" s="16" t="n"/>
      <c r="C448" s="16" t="n"/>
    </row>
    <row r="449">
      <c r="A449" s="16" t="n"/>
      <c r="B449" s="16" t="n"/>
      <c r="C449" s="16" t="n"/>
    </row>
    <row r="450">
      <c r="A450" s="16" t="n"/>
      <c r="B450" s="16" t="n"/>
      <c r="C450" s="16" t="n"/>
    </row>
    <row r="451">
      <c r="A451" s="16" t="n"/>
      <c r="B451" s="16" t="n"/>
      <c r="C451" s="16" t="n"/>
    </row>
    <row r="452">
      <c r="A452" s="16" t="n"/>
      <c r="B452" s="16" t="n"/>
      <c r="C452" s="16" t="n"/>
    </row>
    <row r="453">
      <c r="A453" s="16" t="n"/>
      <c r="B453" s="16" t="n"/>
      <c r="C453" s="16" t="n"/>
    </row>
    <row r="454">
      <c r="A454" s="16" t="n"/>
      <c r="B454" s="16" t="n"/>
      <c r="C454" s="16" t="n"/>
    </row>
    <row r="455">
      <c r="A455" s="16" t="n"/>
      <c r="B455" s="16" t="n"/>
      <c r="C455" s="16" t="n"/>
    </row>
    <row r="456">
      <c r="A456" s="16" t="n"/>
      <c r="B456" s="16" t="n"/>
      <c r="C456" s="16" t="n"/>
    </row>
    <row r="457">
      <c r="A457" s="16" t="n"/>
      <c r="B457" s="16" t="n"/>
      <c r="C457" s="16" t="n"/>
    </row>
    <row r="458">
      <c r="A458" s="16" t="n"/>
      <c r="B458" s="16" t="n"/>
      <c r="C458" s="16" t="n"/>
    </row>
    <row r="459">
      <c r="A459" s="16" t="n"/>
      <c r="B459" s="16" t="n"/>
      <c r="C459" s="16" t="n"/>
    </row>
    <row r="460">
      <c r="A460" s="16" t="n"/>
      <c r="B460" s="16" t="n"/>
      <c r="C460" s="16" t="n"/>
    </row>
    <row r="461">
      <c r="A461" s="16" t="n"/>
      <c r="B461" s="16" t="n"/>
      <c r="C461" s="16" t="n"/>
    </row>
    <row r="462">
      <c r="A462" s="16" t="n"/>
      <c r="B462" s="16" t="n"/>
      <c r="C462" s="16" t="n"/>
    </row>
    <row r="463">
      <c r="A463" s="16" t="n"/>
      <c r="B463" s="16" t="n"/>
      <c r="C463" s="16" t="n"/>
    </row>
    <row r="464">
      <c r="A464" s="16" t="n"/>
      <c r="B464" s="16" t="n"/>
      <c r="C464" s="16" t="n"/>
    </row>
    <row r="465">
      <c r="A465" s="16" t="n"/>
      <c r="B465" s="16" t="n"/>
      <c r="C465" s="16" t="n"/>
    </row>
    <row r="466">
      <c r="A466" s="16" t="n"/>
      <c r="B466" s="16" t="n"/>
      <c r="C466" s="16" t="n"/>
    </row>
    <row r="467">
      <c r="A467" s="16" t="n"/>
      <c r="B467" s="16" t="n"/>
      <c r="C467" s="16" t="n"/>
    </row>
    <row r="468">
      <c r="A468" s="16" t="n"/>
      <c r="B468" s="16" t="n"/>
      <c r="C468" s="16" t="n"/>
    </row>
    <row r="469">
      <c r="A469" s="16" t="n"/>
      <c r="B469" s="16" t="n"/>
      <c r="C469" s="16" t="n"/>
    </row>
    <row r="470">
      <c r="A470" s="16" t="n"/>
      <c r="B470" s="16" t="n"/>
      <c r="C470" s="16" t="n"/>
    </row>
    <row r="471">
      <c r="A471" s="16" t="n"/>
      <c r="B471" s="16" t="n"/>
      <c r="C471" s="16" t="n"/>
    </row>
    <row r="472">
      <c r="A472" s="16" t="n"/>
      <c r="B472" s="16" t="n"/>
      <c r="C472" s="16" t="n"/>
    </row>
    <row r="473">
      <c r="A473" s="16" t="n"/>
      <c r="B473" s="16" t="n"/>
      <c r="C473" s="16" t="n"/>
    </row>
    <row r="474">
      <c r="A474" s="16" t="n"/>
      <c r="B474" s="16" t="n"/>
      <c r="C474" s="16" t="n"/>
    </row>
    <row r="475">
      <c r="A475" s="16" t="n"/>
      <c r="B475" s="16" t="n"/>
      <c r="C475" s="16" t="n"/>
    </row>
    <row r="476">
      <c r="A476" s="16" t="n"/>
      <c r="B476" s="16" t="n"/>
      <c r="C476" s="16" t="n"/>
    </row>
    <row r="477">
      <c r="A477" s="16" t="n"/>
      <c r="B477" s="16" t="n"/>
      <c r="C477" s="16" t="n"/>
    </row>
    <row r="478">
      <c r="A478" s="16" t="n"/>
      <c r="B478" s="16" t="n"/>
      <c r="C478" s="16" t="n"/>
    </row>
    <row r="479">
      <c r="A479" s="16" t="n"/>
      <c r="B479" s="16" t="n"/>
      <c r="C479" s="16" t="n"/>
    </row>
    <row r="480">
      <c r="A480" s="16" t="n"/>
      <c r="B480" s="16" t="n"/>
      <c r="C480" s="16" t="n"/>
    </row>
    <row r="481">
      <c r="A481" s="16" t="n"/>
      <c r="B481" s="16" t="n"/>
      <c r="C481" s="16" t="n"/>
    </row>
    <row r="482">
      <c r="A482" s="16" t="n"/>
      <c r="B482" s="16" t="n"/>
      <c r="C482" s="16" t="n"/>
    </row>
    <row r="483">
      <c r="A483" s="16" t="n"/>
      <c r="B483" s="16" t="n"/>
      <c r="C483" s="16" t="n"/>
    </row>
    <row r="484">
      <c r="A484" s="16" t="n"/>
      <c r="B484" s="16" t="n"/>
      <c r="C484" s="16" t="n"/>
    </row>
    <row r="485">
      <c r="A485" s="16" t="n"/>
      <c r="B485" s="16" t="n"/>
      <c r="C485" s="16" t="n"/>
    </row>
    <row r="486">
      <c r="A486" s="16" t="n"/>
      <c r="B486" s="16" t="n"/>
      <c r="C486" s="16" t="n"/>
    </row>
    <row r="487">
      <c r="A487" s="16" t="n"/>
      <c r="B487" s="16" t="n"/>
      <c r="C487" s="16" t="n"/>
    </row>
    <row r="488">
      <c r="A488" s="16" t="n"/>
      <c r="B488" s="16" t="n"/>
      <c r="C488" s="16" t="n"/>
    </row>
    <row r="489">
      <c r="A489" s="16" t="n"/>
      <c r="B489" s="16" t="n"/>
      <c r="C489" s="16" t="n"/>
    </row>
    <row r="490">
      <c r="A490" s="16" t="n"/>
      <c r="B490" s="16" t="n"/>
      <c r="C490" s="16" t="n"/>
    </row>
    <row r="491">
      <c r="A491" s="16" t="n"/>
      <c r="B491" s="16" t="n"/>
      <c r="C491" s="16" t="n"/>
    </row>
    <row r="492">
      <c r="A492" s="16" t="n"/>
      <c r="B492" s="16" t="n"/>
      <c r="C492" s="16" t="n"/>
    </row>
    <row r="493">
      <c r="A493" s="16" t="n"/>
      <c r="B493" s="16" t="n"/>
      <c r="C493" s="16" t="n"/>
    </row>
    <row r="494">
      <c r="A494" s="16" t="n"/>
      <c r="B494" s="16" t="n"/>
      <c r="C494" s="16" t="n"/>
    </row>
    <row r="495">
      <c r="A495" s="16" t="n"/>
      <c r="B495" s="16" t="n"/>
      <c r="C495" s="16" t="n"/>
    </row>
    <row r="496">
      <c r="A496" s="16" t="n"/>
      <c r="B496" s="16" t="n"/>
      <c r="C496" s="16" t="n"/>
    </row>
    <row r="497">
      <c r="A497" s="16" t="n"/>
      <c r="B497" s="16" t="n"/>
      <c r="C497" s="16" t="n"/>
    </row>
    <row r="498">
      <c r="A498" s="16" t="n"/>
      <c r="B498" s="16" t="n"/>
      <c r="C498" s="16" t="n"/>
    </row>
    <row r="499">
      <c r="A499" s="16" t="n"/>
      <c r="B499" s="16" t="n"/>
      <c r="C499" s="16" t="n"/>
    </row>
    <row r="500">
      <c r="A500" s="16" t="n"/>
      <c r="B500" s="16" t="n"/>
      <c r="C500" s="16" t="n"/>
    </row>
    <row r="501">
      <c r="A501" s="16" t="n"/>
      <c r="B501" s="16" t="n"/>
      <c r="C501" s="16" t="n"/>
    </row>
    <row r="502">
      <c r="A502" s="16" t="n"/>
      <c r="B502" s="16" t="n"/>
      <c r="C502" s="16" t="n"/>
    </row>
    <row r="503">
      <c r="A503" s="16" t="n"/>
      <c r="B503" s="16" t="n"/>
      <c r="C503" s="16" t="n"/>
    </row>
    <row r="504">
      <c r="A504" s="16" t="n"/>
      <c r="B504" s="16" t="n"/>
      <c r="C504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预算对比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实际－预算；费用正差额表示超支。未录入预算时差额留空。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项目编码</t>
        </is>
      </c>
      <c r="B4" s="5" t="inlineStr">
        <is>
          <t>利润项目</t>
        </is>
      </c>
      <c r="C4" s="5" t="inlineStr">
        <is>
          <t>实际金额</t>
        </is>
      </c>
      <c r="D4" s="5" t="inlineStr">
        <is>
          <t>预算金额</t>
        </is>
      </c>
      <c r="E4" s="5" t="inlineStr">
        <is>
          <t>差额</t>
        </is>
      </c>
      <c r="F4" s="5" t="inlineStr">
        <is>
          <t>差异率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2">
        <f>IF('利润表'!A5="","",'利润表'!A5)</f>
        <v/>
      </c>
      <c r="B5" s="2">
        <f>IF('利润表'!B5="","",'利润表'!B5)</f>
        <v/>
      </c>
      <c r="C5" s="6">
        <f>IF(AND(AND('控制台'!B4&lt;&gt;"",'控制台'!B5&lt;&gt;"",'控制台'!B4='刷新信息'!B6,'控制台'!B5='刷新信息'!B8),ISNUMBER('利润表'!C5)),'利润表'!C5,"")</f>
        <v/>
      </c>
      <c r="D5" s="6">
        <f>IF(AND(AND('控制台'!B4&lt;&gt;"",'控制台'!B5&lt;&gt;"",'控制台'!B4='刷新信息'!B6,'控制台'!B5='刷新信息'!B8),COUNTIFS('预算输入'!A5:A204,'控制台'!B4,'预算输入'!B5:B204,'控制台'!B5,'预算输入'!C5:C204,A5)&gt;0),SUMIFS('预算输入'!E5:E204,'预算输入'!A5:A204,'控制台'!B4,'预算输入'!B5:B204,'控制台'!B5,'预算输入'!C5:C204,A5),"")</f>
        <v/>
      </c>
      <c r="E5" s="6">
        <f>IF(OR(D5="",C5=""),"",C5-D5)</f>
        <v/>
      </c>
      <c r="F5" s="17">
        <f>IF(OR(D5="",D5=0),"",E5/ABS(D5))</f>
        <v/>
      </c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>
        <f>IF('利润表'!A6="","",'利润表'!A6)</f>
        <v/>
      </c>
      <c r="B6" s="2">
        <f>IF('利润表'!B6="","",'利润表'!B6)</f>
        <v/>
      </c>
      <c r="C6" s="6">
        <f>IF(AND(AND('控制台'!B4&lt;&gt;"",'控制台'!B5&lt;&gt;"",'控制台'!B4='刷新信息'!B6,'控制台'!B5='刷新信息'!B8),ISNUMBER('利润表'!C6)),'利润表'!C6,"")</f>
        <v/>
      </c>
      <c r="D6" s="6">
        <f>IF(AND(AND('控制台'!B4&lt;&gt;"",'控制台'!B5&lt;&gt;"",'控制台'!B4='刷新信息'!B6,'控制台'!B5='刷新信息'!B8),COUNTIFS('预算输入'!A5:A204,'控制台'!B4,'预算输入'!B5:B204,'控制台'!B5,'预算输入'!C5:C204,A6)&gt;0),SUMIFS('预算输入'!E5:E204,'预算输入'!A5:A204,'控制台'!B4,'预算输入'!B5:B204,'控制台'!B5,'预算输入'!C5:C204,A6),"")</f>
        <v/>
      </c>
      <c r="E6" s="6">
        <f>IF(OR(D6="",C6=""),"",C6-D6)</f>
        <v/>
      </c>
      <c r="F6" s="17">
        <f>IF(OR(D6="",D6=0),"",E6/ABS(D6))</f>
        <v/>
      </c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>
        <f>IF('利润表'!A7="","",'利润表'!A7)</f>
        <v/>
      </c>
      <c r="B7" s="2">
        <f>IF('利润表'!B7="","",'利润表'!B7)</f>
        <v/>
      </c>
      <c r="C7" s="6">
        <f>IF(AND(AND('控制台'!B4&lt;&gt;"",'控制台'!B5&lt;&gt;"",'控制台'!B4='刷新信息'!B6,'控制台'!B5='刷新信息'!B8),ISNUMBER('利润表'!C7)),'利润表'!C7,"")</f>
        <v/>
      </c>
      <c r="D7" s="6">
        <f>IF(AND(AND('控制台'!B4&lt;&gt;"",'控制台'!B5&lt;&gt;"",'控制台'!B4='刷新信息'!B6,'控制台'!B5='刷新信息'!B8),COUNTIFS('预算输入'!A5:A204,'控制台'!B4,'预算输入'!B5:B204,'控制台'!B5,'预算输入'!C5:C204,A7)&gt;0),SUMIFS('预算输入'!E5:E204,'预算输入'!A5:A204,'控制台'!B4,'预算输入'!B5:B204,'控制台'!B5,'预算输入'!C5:C204,A7),"")</f>
        <v/>
      </c>
      <c r="E7" s="6">
        <f>IF(OR(D7="",C7=""),"",C7-D7)</f>
        <v/>
      </c>
      <c r="F7" s="17">
        <f>IF(OR(D7="",D7=0),"",E7/ABS(D7))</f>
        <v/>
      </c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>
        <f>IF('利润表'!A8="","",'利润表'!A8)</f>
        <v/>
      </c>
      <c r="B8" s="2">
        <f>IF('利润表'!B8="","",'利润表'!B8)</f>
        <v/>
      </c>
      <c r="C8" s="6">
        <f>IF(AND(AND('控制台'!B4&lt;&gt;"",'控制台'!B5&lt;&gt;"",'控制台'!B4='刷新信息'!B6,'控制台'!B5='刷新信息'!B8),ISNUMBER('利润表'!C8)),'利润表'!C8,"")</f>
        <v/>
      </c>
      <c r="D8" s="6">
        <f>IF(AND(AND('控制台'!B4&lt;&gt;"",'控制台'!B5&lt;&gt;"",'控制台'!B4='刷新信息'!B6,'控制台'!B5='刷新信息'!B8),COUNTIFS('预算输入'!A5:A204,'控制台'!B4,'预算输入'!B5:B204,'控制台'!B5,'预算输入'!C5:C204,A8)&gt;0),SUMIFS('预算输入'!E5:E204,'预算输入'!A5:A204,'控制台'!B4,'预算输入'!B5:B204,'控制台'!B5,'预算输入'!C5:C204,A8),"")</f>
        <v/>
      </c>
      <c r="E8" s="6">
        <f>IF(OR(D8="",C8=""),"",C8-D8)</f>
        <v/>
      </c>
      <c r="F8" s="17">
        <f>IF(OR(D8="",D8=0),"",E8/ABS(D8))</f>
        <v/>
      </c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>
        <f>IF('利润表'!A9="","",'利润表'!A9)</f>
        <v/>
      </c>
      <c r="B9" s="2">
        <f>IF('利润表'!B9="","",'利润表'!B9)</f>
        <v/>
      </c>
      <c r="C9" s="6">
        <f>IF(AND(AND('控制台'!B4&lt;&gt;"",'控制台'!B5&lt;&gt;"",'控制台'!B4='刷新信息'!B6,'控制台'!B5='刷新信息'!B8),ISNUMBER('利润表'!C9)),'利润表'!C9,"")</f>
        <v/>
      </c>
      <c r="D9" s="6">
        <f>IF(AND(AND('控制台'!B4&lt;&gt;"",'控制台'!B5&lt;&gt;"",'控制台'!B4='刷新信息'!B6,'控制台'!B5='刷新信息'!B8),COUNTIFS('预算输入'!A5:A204,'控制台'!B4,'预算输入'!B5:B204,'控制台'!B5,'预算输入'!C5:C204,A9)&gt;0),SUMIFS('预算输入'!E5:E204,'预算输入'!A5:A204,'控制台'!B4,'预算输入'!B5:B204,'控制台'!B5,'预算输入'!C5:C204,A9),"")</f>
        <v/>
      </c>
      <c r="E9" s="6">
        <f>IF(OR(D9="",C9=""),"",C9-D9)</f>
        <v/>
      </c>
      <c r="F9" s="17">
        <f>IF(OR(D9="",D9=0),"",E9/ABS(D9))</f>
        <v/>
      </c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>
        <f>IF('利润表'!A10="","",'利润表'!A10)</f>
        <v/>
      </c>
      <c r="B10" s="2">
        <f>IF('利润表'!B10="","",'利润表'!B10)</f>
        <v/>
      </c>
      <c r="C10" s="6">
        <f>IF(AND(AND('控制台'!B4&lt;&gt;"",'控制台'!B5&lt;&gt;"",'控制台'!B4='刷新信息'!B6,'控制台'!B5='刷新信息'!B8),ISNUMBER('利润表'!C10)),'利润表'!C10,"")</f>
        <v/>
      </c>
      <c r="D10" s="6">
        <f>IF(AND(AND('控制台'!B4&lt;&gt;"",'控制台'!B5&lt;&gt;"",'控制台'!B4='刷新信息'!B6,'控制台'!B5='刷新信息'!B8),COUNTIFS('预算输入'!A5:A204,'控制台'!B4,'预算输入'!B5:B204,'控制台'!B5,'预算输入'!C5:C204,A10)&gt;0),SUMIFS('预算输入'!E5:E204,'预算输入'!A5:A204,'控制台'!B4,'预算输入'!B5:B204,'控制台'!B5,'预算输入'!C5:C204,A10),"")</f>
        <v/>
      </c>
      <c r="E10" s="6">
        <f>IF(OR(D10="",C10=""),"",C10-D10)</f>
        <v/>
      </c>
      <c r="F10" s="17">
        <f>IF(OR(D10="",D10=0),"",E10/ABS(D10))</f>
        <v/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>
        <f>IF('利润表'!A11="","",'利润表'!A11)</f>
        <v/>
      </c>
      <c r="B11" s="2">
        <f>IF('利润表'!B11="","",'利润表'!B11)</f>
        <v/>
      </c>
      <c r="C11" s="6">
        <f>IF(AND(AND('控制台'!B4&lt;&gt;"",'控制台'!B5&lt;&gt;"",'控制台'!B4='刷新信息'!B6,'控制台'!B5='刷新信息'!B8),ISNUMBER('利润表'!C11)),'利润表'!C11,"")</f>
        <v/>
      </c>
      <c r="D11" s="6">
        <f>IF(AND(AND('控制台'!B4&lt;&gt;"",'控制台'!B5&lt;&gt;"",'控制台'!B4='刷新信息'!B6,'控制台'!B5='刷新信息'!B8),COUNTIFS('预算输入'!A5:A204,'控制台'!B4,'预算输入'!B5:B204,'控制台'!B5,'预算输入'!C5:C204,A11)&gt;0),SUMIFS('预算输入'!E5:E204,'预算输入'!A5:A204,'控制台'!B4,'预算输入'!B5:B204,'控制台'!B5,'预算输入'!C5:C204,A11),"")</f>
        <v/>
      </c>
      <c r="E11" s="6">
        <f>IF(OR(D11="",C11=""),"",C11-D11)</f>
        <v/>
      </c>
      <c r="F11" s="17">
        <f>IF(OR(D11="",D11=0),"",E11/ABS(D11))</f>
        <v/>
      </c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>
        <f>IF('利润表'!A12="","",'利润表'!A12)</f>
        <v/>
      </c>
      <c r="B12" s="2">
        <f>IF('利润表'!B12="","",'利润表'!B12)</f>
        <v/>
      </c>
      <c r="C12" s="6">
        <f>IF(AND(AND('控制台'!B4&lt;&gt;"",'控制台'!B5&lt;&gt;"",'控制台'!B4='刷新信息'!B6,'控制台'!B5='刷新信息'!B8),ISNUMBER('利润表'!C12)),'利润表'!C12,"")</f>
        <v/>
      </c>
      <c r="D12" s="6">
        <f>IF(AND(AND('控制台'!B4&lt;&gt;"",'控制台'!B5&lt;&gt;"",'控制台'!B4='刷新信息'!B6,'控制台'!B5='刷新信息'!B8),COUNTIFS('预算输入'!A5:A204,'控制台'!B4,'预算输入'!B5:B204,'控制台'!B5,'预算输入'!C5:C204,A12)&gt;0),SUMIFS('预算输入'!E5:E204,'预算输入'!A5:A204,'控制台'!B4,'预算输入'!B5:B204,'控制台'!B5,'预算输入'!C5:C204,A12),"")</f>
        <v/>
      </c>
      <c r="E12" s="6">
        <f>IF(OR(D12="",C12=""),"",C12-D12)</f>
        <v/>
      </c>
      <c r="F12" s="17">
        <f>IF(OR(D12="",D12=0),"",E12/ABS(D12))</f>
        <v/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>
        <f>IF('利润表'!A13="","",'利润表'!A13)</f>
        <v/>
      </c>
      <c r="B13" s="2">
        <f>IF('利润表'!B13="","",'利润表'!B13)</f>
        <v/>
      </c>
      <c r="C13" s="6">
        <f>IF(AND(AND('控制台'!B4&lt;&gt;"",'控制台'!B5&lt;&gt;"",'控制台'!B4='刷新信息'!B6,'控制台'!B5='刷新信息'!B8),ISNUMBER('利润表'!C13)),'利润表'!C13,"")</f>
        <v/>
      </c>
      <c r="D13" s="6">
        <f>IF(AND(AND('控制台'!B4&lt;&gt;"",'控制台'!B5&lt;&gt;"",'控制台'!B4='刷新信息'!B6,'控制台'!B5='刷新信息'!B8),COUNTIFS('预算输入'!A5:A204,'控制台'!B4,'预算输入'!B5:B204,'控制台'!B5,'预算输入'!C5:C204,A13)&gt;0),SUMIFS('预算输入'!E5:E204,'预算输入'!A5:A204,'控制台'!B4,'预算输入'!B5:B204,'控制台'!B5,'预算输入'!C5:C204,A13),"")</f>
        <v/>
      </c>
      <c r="E13" s="6">
        <f>IF(OR(D13="",C13=""),"",C13-D13)</f>
        <v/>
      </c>
      <c r="F13" s="17">
        <f>IF(OR(D13="",D13=0),"",E13/ABS(D13))</f>
        <v/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>
        <f>IF('利润表'!A14="","",'利润表'!A14)</f>
        <v/>
      </c>
      <c r="B14" s="2">
        <f>IF('利润表'!B14="","",'利润表'!B14)</f>
        <v/>
      </c>
      <c r="C14" s="6">
        <f>IF(AND(AND('控制台'!B4&lt;&gt;"",'控制台'!B5&lt;&gt;"",'控制台'!B4='刷新信息'!B6,'控制台'!B5='刷新信息'!B8),ISNUMBER('利润表'!C14)),'利润表'!C14,"")</f>
        <v/>
      </c>
      <c r="D14" s="6">
        <f>IF(AND(AND('控制台'!B4&lt;&gt;"",'控制台'!B5&lt;&gt;"",'控制台'!B4='刷新信息'!B6,'控制台'!B5='刷新信息'!B8),COUNTIFS('预算输入'!A5:A204,'控制台'!B4,'预算输入'!B5:B204,'控制台'!B5,'预算输入'!C5:C204,A14)&gt;0),SUMIFS('预算输入'!E5:E204,'预算输入'!A5:A204,'控制台'!B4,'预算输入'!B5:B204,'控制台'!B5,'预算输入'!C5:C204,A14),"")</f>
        <v/>
      </c>
      <c r="E14" s="6">
        <f>IF(OR(D14="",C14=""),"",C14-D14)</f>
        <v/>
      </c>
      <c r="F14" s="17">
        <f>IF(OR(D14="",D14=0),"",E14/ABS(D14))</f>
        <v/>
      </c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>
        <f>IF('利润表'!A15="","",'利润表'!A15)</f>
        <v/>
      </c>
      <c r="B15" s="2">
        <f>IF('利润表'!B15="","",'利润表'!B15)</f>
        <v/>
      </c>
      <c r="C15" s="6">
        <f>IF(AND(AND('控制台'!B4&lt;&gt;"",'控制台'!B5&lt;&gt;"",'控制台'!B4='刷新信息'!B6,'控制台'!B5='刷新信息'!B8),ISNUMBER('利润表'!C15)),'利润表'!C15,"")</f>
        <v/>
      </c>
      <c r="D15" s="6">
        <f>IF(AND(AND('控制台'!B4&lt;&gt;"",'控制台'!B5&lt;&gt;"",'控制台'!B4='刷新信息'!B6,'控制台'!B5='刷新信息'!B8),COUNTIFS('预算输入'!A5:A204,'控制台'!B4,'预算输入'!B5:B204,'控制台'!B5,'预算输入'!C5:C204,A15)&gt;0),SUMIFS('预算输入'!E5:E204,'预算输入'!A5:A204,'控制台'!B4,'预算输入'!B5:B204,'控制台'!B5,'预算输入'!C5:C204,A15),"")</f>
        <v/>
      </c>
      <c r="E15" s="6">
        <f>IF(OR(D15="",C15=""),"",C15-D15)</f>
        <v/>
      </c>
      <c r="F15" s="17">
        <f>IF(OR(D15="",D15=0),"",E15/ABS(D15))</f>
        <v/>
      </c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>
        <f>IF('利润表'!A16="","",'利润表'!A16)</f>
        <v/>
      </c>
      <c r="B16" s="2">
        <f>IF('利润表'!B16="","",'利润表'!B16)</f>
        <v/>
      </c>
      <c r="C16" s="6">
        <f>IF(AND(AND('控制台'!B4&lt;&gt;"",'控制台'!B5&lt;&gt;"",'控制台'!B4='刷新信息'!B6,'控制台'!B5='刷新信息'!B8),ISNUMBER('利润表'!C16)),'利润表'!C16,"")</f>
        <v/>
      </c>
      <c r="D16" s="6">
        <f>IF(AND(AND('控制台'!B4&lt;&gt;"",'控制台'!B5&lt;&gt;"",'控制台'!B4='刷新信息'!B6,'控制台'!B5='刷新信息'!B8),COUNTIFS('预算输入'!A5:A204,'控制台'!B4,'预算输入'!B5:B204,'控制台'!B5,'预算输入'!C5:C204,A16)&gt;0),SUMIFS('预算输入'!E5:E204,'预算输入'!A5:A204,'控制台'!B4,'预算输入'!B5:B204,'控制台'!B5,'预算输入'!C5:C204,A16),"")</f>
        <v/>
      </c>
      <c r="E16" s="6">
        <f>IF(OR(D16="",C16=""),"",C16-D16)</f>
        <v/>
      </c>
      <c r="F16" s="17">
        <f>IF(OR(D16="",D16=0),"",E16/ABS(D16))</f>
        <v/>
      </c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>
        <f>IF('利润表'!A17="","",'利润表'!A17)</f>
        <v/>
      </c>
      <c r="B17" s="2">
        <f>IF('利润表'!B17="","",'利润表'!B17)</f>
        <v/>
      </c>
      <c r="C17" s="6">
        <f>IF(AND(AND('控制台'!B4&lt;&gt;"",'控制台'!B5&lt;&gt;"",'控制台'!B4='刷新信息'!B6,'控制台'!B5='刷新信息'!B8),ISNUMBER('利润表'!C17)),'利润表'!C17,"")</f>
        <v/>
      </c>
      <c r="D17" s="6">
        <f>IF(AND(AND('控制台'!B4&lt;&gt;"",'控制台'!B5&lt;&gt;"",'控制台'!B4='刷新信息'!B6,'控制台'!B5='刷新信息'!B8),COUNTIFS('预算输入'!A5:A204,'控制台'!B4,'预算输入'!B5:B204,'控制台'!B5,'预算输入'!C5:C204,A17)&gt;0),SUMIFS('预算输入'!E5:E204,'预算输入'!A5:A204,'控制台'!B4,'预算输入'!B5:B204,'控制台'!B5,'预算输入'!C5:C204,A17),"")</f>
        <v/>
      </c>
      <c r="E17" s="6">
        <f>IF(OR(D17="",C17=""),"",C17-D17)</f>
        <v/>
      </c>
      <c r="F17" s="17">
        <f>IF(OR(D17="",D17=0),"",E17/ABS(D17))</f>
        <v/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>
        <f>IF('利润表'!A18="","",'利润表'!A18)</f>
        <v/>
      </c>
      <c r="B18" s="2">
        <f>IF('利润表'!B18="","",'利润表'!B18)</f>
        <v/>
      </c>
      <c r="C18" s="6">
        <f>IF(AND(AND('控制台'!B4&lt;&gt;"",'控制台'!B5&lt;&gt;"",'控制台'!B4='刷新信息'!B6,'控制台'!B5='刷新信息'!B8),ISNUMBER('利润表'!C18)),'利润表'!C18,"")</f>
        <v/>
      </c>
      <c r="D18" s="6">
        <f>IF(AND(AND('控制台'!B4&lt;&gt;"",'控制台'!B5&lt;&gt;"",'控制台'!B4='刷新信息'!B6,'控制台'!B5='刷新信息'!B8),COUNTIFS('预算输入'!A5:A204,'控制台'!B4,'预算输入'!B5:B204,'控制台'!B5,'预算输入'!C5:C204,A18)&gt;0),SUMIFS('预算输入'!E5:E204,'预算输入'!A5:A204,'控制台'!B4,'预算输入'!B5:B204,'控制台'!B5,'预算输入'!C5:C204,A18),"")</f>
        <v/>
      </c>
      <c r="E18" s="6">
        <f>IF(OR(D18="",C18=""),"",C18-D18)</f>
        <v/>
      </c>
      <c r="F18" s="17">
        <f>IF(OR(D18="",D18=0),"",E18/ABS(D18))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>
        <f>IF('利润表'!A19="","",'利润表'!A19)</f>
        <v/>
      </c>
      <c r="B19" s="2">
        <f>IF('利润表'!B19="","",'利润表'!B19)</f>
        <v/>
      </c>
      <c r="C19" s="6">
        <f>IF(AND(AND('控制台'!B4&lt;&gt;"",'控制台'!B5&lt;&gt;"",'控制台'!B4='刷新信息'!B6,'控制台'!B5='刷新信息'!B8),ISNUMBER('利润表'!C19)),'利润表'!C19,"")</f>
        <v/>
      </c>
      <c r="D19" s="6">
        <f>IF(AND(AND('控制台'!B4&lt;&gt;"",'控制台'!B5&lt;&gt;"",'控制台'!B4='刷新信息'!B6,'控制台'!B5='刷新信息'!B8),COUNTIFS('预算输入'!A5:A204,'控制台'!B4,'预算输入'!B5:B204,'控制台'!B5,'预算输入'!C5:C204,A19)&gt;0),SUMIFS('预算输入'!E5:E204,'预算输入'!A5:A204,'控制台'!B4,'预算输入'!B5:B204,'控制台'!B5,'预算输入'!C5:C204,A19),"")</f>
        <v/>
      </c>
      <c r="E19" s="6">
        <f>IF(OR(D19="",C19=""),"",C19-D19)</f>
        <v/>
      </c>
      <c r="F19" s="17">
        <f>IF(OR(D19="",D19=0),"",E19/ABS(D19))</f>
        <v/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>
        <f>IF('利润表'!A20="","",'利润表'!A20)</f>
        <v/>
      </c>
      <c r="B20" s="2">
        <f>IF('利润表'!B20="","",'利润表'!B20)</f>
        <v/>
      </c>
      <c r="C20" s="6">
        <f>IF(AND(AND('控制台'!B4&lt;&gt;"",'控制台'!B5&lt;&gt;"",'控制台'!B4='刷新信息'!B6,'控制台'!B5='刷新信息'!B8),ISNUMBER('利润表'!C20)),'利润表'!C20,"")</f>
        <v/>
      </c>
      <c r="D20" s="6">
        <f>IF(AND(AND('控制台'!B4&lt;&gt;"",'控制台'!B5&lt;&gt;"",'控制台'!B4='刷新信息'!B6,'控制台'!B5='刷新信息'!B8),COUNTIFS('预算输入'!A5:A204,'控制台'!B4,'预算输入'!B5:B204,'控制台'!B5,'预算输入'!C5:C204,A20)&gt;0),SUMIFS('预算输入'!E5:E204,'预算输入'!A5:A204,'控制台'!B4,'预算输入'!B5:B204,'控制台'!B5,'预算输入'!C5:C204,A20),"")</f>
        <v/>
      </c>
      <c r="E20" s="6">
        <f>IF(OR(D20="",C20=""),"",C20-D20)</f>
        <v/>
      </c>
      <c r="F20" s="17">
        <f>IF(OR(D20="",D20=0),"",E20/ABS(D20))</f>
        <v/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>
        <f>IF('利润表'!A21="","",'利润表'!A21)</f>
        <v/>
      </c>
      <c r="B21" s="2">
        <f>IF('利润表'!B21="","",'利润表'!B21)</f>
        <v/>
      </c>
      <c r="C21" s="6">
        <f>IF(AND(AND('控制台'!B4&lt;&gt;"",'控制台'!B5&lt;&gt;"",'控制台'!B4='刷新信息'!B6,'控制台'!B5='刷新信息'!B8),ISNUMBER('利润表'!C21)),'利润表'!C21,"")</f>
        <v/>
      </c>
      <c r="D21" s="6">
        <f>IF(AND(AND('控制台'!B4&lt;&gt;"",'控制台'!B5&lt;&gt;"",'控制台'!B4='刷新信息'!B6,'控制台'!B5='刷新信息'!B8),COUNTIFS('预算输入'!A5:A204,'控制台'!B4,'预算输入'!B5:B204,'控制台'!B5,'预算输入'!C5:C204,A21)&gt;0),SUMIFS('预算输入'!E5:E204,'预算输入'!A5:A204,'控制台'!B4,'预算输入'!B5:B204,'控制台'!B5,'预算输入'!C5:C204,A21),"")</f>
        <v/>
      </c>
      <c r="E21" s="6">
        <f>IF(OR(D21="",C21=""),"",C21-D21)</f>
        <v/>
      </c>
      <c r="F21" s="17">
        <f>IF(OR(D21="",D21=0),"",E21/ABS(D21))</f>
        <v/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>
        <f>IF('利润表'!A22="","",'利润表'!A22)</f>
        <v/>
      </c>
      <c r="B22" s="2">
        <f>IF('利润表'!B22="","",'利润表'!B22)</f>
        <v/>
      </c>
      <c r="C22" s="6">
        <f>IF(AND(AND('控制台'!B4&lt;&gt;"",'控制台'!B5&lt;&gt;"",'控制台'!B4='刷新信息'!B6,'控制台'!B5='刷新信息'!B8),ISNUMBER('利润表'!C22)),'利润表'!C22,"")</f>
        <v/>
      </c>
      <c r="D22" s="6">
        <f>IF(AND(AND('控制台'!B4&lt;&gt;"",'控制台'!B5&lt;&gt;"",'控制台'!B4='刷新信息'!B6,'控制台'!B5='刷新信息'!B8),COUNTIFS('预算输入'!A5:A204,'控制台'!B4,'预算输入'!B5:B204,'控制台'!B5,'预算输入'!C5:C204,A22)&gt;0),SUMIFS('预算输入'!E5:E204,'预算输入'!A5:A204,'控制台'!B4,'预算输入'!B5:B204,'控制台'!B5,'预算输入'!C5:C204,A22),"")</f>
        <v/>
      </c>
      <c r="E22" s="6">
        <f>IF(OR(D22="",C22=""),"",C22-D22)</f>
        <v/>
      </c>
      <c r="F22" s="17">
        <f>IF(OR(D22="",D22=0),"",E22/ABS(D22))</f>
        <v/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>
        <f>IF('利润表'!A23="","",'利润表'!A23)</f>
        <v/>
      </c>
      <c r="B23" s="2">
        <f>IF('利润表'!B23="","",'利润表'!B23)</f>
        <v/>
      </c>
      <c r="C23" s="6">
        <f>IF(AND(AND('控制台'!B4&lt;&gt;"",'控制台'!B5&lt;&gt;"",'控制台'!B4='刷新信息'!B6,'控制台'!B5='刷新信息'!B8),ISNUMBER('利润表'!C23)),'利润表'!C23,"")</f>
        <v/>
      </c>
      <c r="D23" s="6">
        <f>IF(AND(AND('控制台'!B4&lt;&gt;"",'控制台'!B5&lt;&gt;"",'控制台'!B4='刷新信息'!B6,'控制台'!B5='刷新信息'!B8),COUNTIFS('预算输入'!A5:A204,'控制台'!B4,'预算输入'!B5:B204,'控制台'!B5,'预算输入'!C5:C204,A23)&gt;0),SUMIFS('预算输入'!E5:E204,'预算输入'!A5:A204,'控制台'!B4,'预算输入'!B5:B204,'控制台'!B5,'预算输入'!C5:C204,A23),"")</f>
        <v/>
      </c>
      <c r="E23" s="6">
        <f>IF(OR(D23="",C23=""),"",C23-D23)</f>
        <v/>
      </c>
      <c r="F23" s="17">
        <f>IF(OR(D23="",D23=0),"",E23/ABS(D23))</f>
        <v/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>
        <f>IF('利润表'!A24="","",'利润表'!A24)</f>
        <v/>
      </c>
      <c r="B24" s="2">
        <f>IF('利润表'!B24="","",'利润表'!B24)</f>
        <v/>
      </c>
      <c r="C24" s="6">
        <f>IF(AND(AND('控制台'!B4&lt;&gt;"",'控制台'!B5&lt;&gt;"",'控制台'!B4='刷新信息'!B6,'控制台'!B5='刷新信息'!B8),ISNUMBER('利润表'!C24)),'利润表'!C24,"")</f>
        <v/>
      </c>
      <c r="D24" s="6">
        <f>IF(AND(AND('控制台'!B4&lt;&gt;"",'控制台'!B5&lt;&gt;"",'控制台'!B4='刷新信息'!B6,'控制台'!B5='刷新信息'!B8),COUNTIFS('预算输入'!A5:A204,'控制台'!B4,'预算输入'!B5:B204,'控制台'!B5,'预算输入'!C5:C204,A24)&gt;0),SUMIFS('预算输入'!E5:E204,'预算输入'!A5:A204,'控制台'!B4,'预算输入'!B5:B204,'控制台'!B5,'预算输入'!C5:C204,A24),"")</f>
        <v/>
      </c>
      <c r="E24" s="6">
        <f>IF(OR(D24="",C24=""),"",C24-D24)</f>
        <v/>
      </c>
      <c r="F24" s="17">
        <f>IF(OR(D24="",D24=0),"",E24/ABS(D24))</f>
        <v/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>
        <f>IF('利润表'!A25="","",'利润表'!A25)</f>
        <v/>
      </c>
      <c r="B25" s="2">
        <f>IF('利润表'!B25="","",'利润表'!B25)</f>
        <v/>
      </c>
      <c r="C25" s="6">
        <f>IF(AND(AND('控制台'!B4&lt;&gt;"",'控制台'!B5&lt;&gt;"",'控制台'!B4='刷新信息'!B6,'控制台'!B5='刷新信息'!B8),ISNUMBER('利润表'!C25)),'利润表'!C25,"")</f>
        <v/>
      </c>
      <c r="D25" s="6">
        <f>IF(AND(AND('控制台'!B4&lt;&gt;"",'控制台'!B5&lt;&gt;"",'控制台'!B4='刷新信息'!B6,'控制台'!B5='刷新信息'!B8),COUNTIFS('预算输入'!A5:A204,'控制台'!B4,'预算输入'!B5:B204,'控制台'!B5,'预算输入'!C5:C204,A25)&gt;0),SUMIFS('预算输入'!E5:E204,'预算输入'!A5:A204,'控制台'!B4,'预算输入'!B5:B204,'控制台'!B5,'预算输入'!C5:C204,A25),"")</f>
        <v/>
      </c>
      <c r="E25" s="6">
        <f>IF(OR(D25="",C25=""),"",C25-D25)</f>
        <v/>
      </c>
      <c r="F25" s="17">
        <f>IF(OR(D25="",D25=0),"",E25/ABS(D25))</f>
        <v/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>
        <f>IF('利润表'!A26="","",'利润表'!A26)</f>
        <v/>
      </c>
      <c r="B26" s="2">
        <f>IF('利润表'!B26="","",'利润表'!B26)</f>
        <v/>
      </c>
      <c r="C26" s="6">
        <f>IF(AND(AND('控制台'!B4&lt;&gt;"",'控制台'!B5&lt;&gt;"",'控制台'!B4='刷新信息'!B6,'控制台'!B5='刷新信息'!B8),ISNUMBER('利润表'!C26)),'利润表'!C26,"")</f>
        <v/>
      </c>
      <c r="D26" s="6">
        <f>IF(AND(AND('控制台'!B4&lt;&gt;"",'控制台'!B5&lt;&gt;"",'控制台'!B4='刷新信息'!B6,'控制台'!B5='刷新信息'!B8),COUNTIFS('预算输入'!A5:A204,'控制台'!B4,'预算输入'!B5:B204,'控制台'!B5,'预算输入'!C5:C204,A26)&gt;0),SUMIFS('预算输入'!E5:E204,'预算输入'!A5:A204,'控制台'!B4,'预算输入'!B5:B204,'控制台'!B5,'预算输入'!C5:C204,A26),"")</f>
        <v/>
      </c>
      <c r="E26" s="6">
        <f>IF(OR(D26="",C26=""),"",C26-D26)</f>
        <v/>
      </c>
      <c r="F26" s="17">
        <f>IF(OR(D26="",D26=0),"",E26/ABS(D26))</f>
        <v/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>
        <f>IF('利润表'!A27="","",'利润表'!A27)</f>
        <v/>
      </c>
      <c r="B27" s="2">
        <f>IF('利润表'!B27="","",'利润表'!B27)</f>
        <v/>
      </c>
      <c r="C27" s="6">
        <f>IF(AND(AND('控制台'!B4&lt;&gt;"",'控制台'!B5&lt;&gt;"",'控制台'!B4='刷新信息'!B6,'控制台'!B5='刷新信息'!B8),ISNUMBER('利润表'!C27)),'利润表'!C27,"")</f>
        <v/>
      </c>
      <c r="D27" s="6">
        <f>IF(AND(AND('控制台'!B4&lt;&gt;"",'控制台'!B5&lt;&gt;"",'控制台'!B4='刷新信息'!B6,'控制台'!B5='刷新信息'!B8),COUNTIFS('预算输入'!A5:A204,'控制台'!B4,'预算输入'!B5:B204,'控制台'!B5,'预算输入'!C5:C204,A27)&gt;0),SUMIFS('预算输入'!E5:E204,'预算输入'!A5:A204,'控制台'!B4,'预算输入'!B5:B204,'控制台'!B5,'预算输入'!C5:C204,A27),"")</f>
        <v/>
      </c>
      <c r="E27" s="6">
        <f>IF(OR(D27="",C27=""),"",C27-D27)</f>
        <v/>
      </c>
      <c r="F27" s="17">
        <f>IF(OR(D27="",D27=0),"",E27/ABS(D27))</f>
        <v/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>
        <f>IF('利润表'!A28="","",'利润表'!A28)</f>
        <v/>
      </c>
      <c r="B28" s="2">
        <f>IF('利润表'!B28="","",'利润表'!B28)</f>
        <v/>
      </c>
      <c r="C28" s="6">
        <f>IF(AND(AND('控制台'!B4&lt;&gt;"",'控制台'!B5&lt;&gt;"",'控制台'!B4='刷新信息'!B6,'控制台'!B5='刷新信息'!B8),ISNUMBER('利润表'!C28)),'利润表'!C28,"")</f>
        <v/>
      </c>
      <c r="D28" s="6">
        <f>IF(AND(AND('控制台'!B4&lt;&gt;"",'控制台'!B5&lt;&gt;"",'控制台'!B4='刷新信息'!B6,'控制台'!B5='刷新信息'!B8),COUNTIFS('预算输入'!A5:A204,'控制台'!B4,'预算输入'!B5:B204,'控制台'!B5,'预算输入'!C5:C204,A28)&gt;0),SUMIFS('预算输入'!E5:E204,'预算输入'!A5:A204,'控制台'!B4,'预算输入'!B5:B204,'控制台'!B5,'预算输入'!C5:C204,A28),"")</f>
        <v/>
      </c>
      <c r="E28" s="6">
        <f>IF(OR(D28="",C28=""),"",C28-D28)</f>
        <v/>
      </c>
      <c r="F28" s="17">
        <f>IF(OR(D28="",D28=0),"",E28/ABS(D28))</f>
        <v/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>
        <f>IF('利润表'!A29="","",'利润表'!A29)</f>
        <v/>
      </c>
      <c r="B29" s="2">
        <f>IF('利润表'!B29="","",'利润表'!B29)</f>
        <v/>
      </c>
      <c r="C29" s="6">
        <f>IF(AND(AND('控制台'!B4&lt;&gt;"",'控制台'!B5&lt;&gt;"",'控制台'!B4='刷新信息'!B6,'控制台'!B5='刷新信息'!B8),ISNUMBER('利润表'!C29)),'利润表'!C29,"")</f>
        <v/>
      </c>
      <c r="D29" s="6">
        <f>IF(AND(AND('控制台'!B4&lt;&gt;"",'控制台'!B5&lt;&gt;"",'控制台'!B4='刷新信息'!B6,'控制台'!B5='刷新信息'!B8),COUNTIFS('预算输入'!A5:A204,'控制台'!B4,'预算输入'!B5:B204,'控制台'!B5,'预算输入'!C5:C204,A29)&gt;0),SUMIFS('预算输入'!E5:E204,'预算输入'!A5:A204,'控制台'!B4,'预算输入'!B5:B204,'控制台'!B5,'预算输入'!C5:C204,A29),"")</f>
        <v/>
      </c>
      <c r="E29" s="6">
        <f>IF(OR(D29="",C29=""),"",C29-D29)</f>
        <v/>
      </c>
      <c r="F29" s="17">
        <f>IF(OR(D29="",D29=0),"",E29/ABS(D29))</f>
        <v/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>
        <f>IF('利润表'!A30="","",'利润表'!A30)</f>
        <v/>
      </c>
      <c r="B30" s="2">
        <f>IF('利润表'!B30="","",'利润表'!B30)</f>
        <v/>
      </c>
      <c r="C30" s="6">
        <f>IF(AND(AND('控制台'!B4&lt;&gt;"",'控制台'!B5&lt;&gt;"",'控制台'!B4='刷新信息'!B6,'控制台'!B5='刷新信息'!B8),ISNUMBER('利润表'!C30)),'利润表'!C30,"")</f>
        <v/>
      </c>
      <c r="D30" s="6">
        <f>IF(AND(AND('控制台'!B4&lt;&gt;"",'控制台'!B5&lt;&gt;"",'控制台'!B4='刷新信息'!B6,'控制台'!B5='刷新信息'!B8),COUNTIFS('预算输入'!A5:A204,'控制台'!B4,'预算输入'!B5:B204,'控制台'!B5,'预算输入'!C5:C204,A30)&gt;0),SUMIFS('预算输入'!E5:E204,'预算输入'!A5:A204,'控制台'!B4,'预算输入'!B5:B204,'控制台'!B5,'预算输入'!C5:C204,A30),"")</f>
        <v/>
      </c>
      <c r="E30" s="6">
        <f>IF(OR(D30="",C30=""),"",C30-D30)</f>
        <v/>
      </c>
      <c r="F30" s="17">
        <f>IF(OR(D30="",D30=0),"",E30/ABS(D30))</f>
        <v/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>
        <f>IF('利润表'!A31="","",'利润表'!A31)</f>
        <v/>
      </c>
      <c r="B31" s="2">
        <f>IF('利润表'!B31="","",'利润表'!B31)</f>
        <v/>
      </c>
      <c r="C31" s="6">
        <f>IF(AND(AND('控制台'!B4&lt;&gt;"",'控制台'!B5&lt;&gt;"",'控制台'!B4='刷新信息'!B6,'控制台'!B5='刷新信息'!B8),ISNUMBER('利润表'!C31)),'利润表'!C31,"")</f>
        <v/>
      </c>
      <c r="D31" s="6">
        <f>IF(AND(AND('控制台'!B4&lt;&gt;"",'控制台'!B5&lt;&gt;"",'控制台'!B4='刷新信息'!B6,'控制台'!B5='刷新信息'!B8),COUNTIFS('预算输入'!A5:A204,'控制台'!B4,'预算输入'!B5:B204,'控制台'!B5,'预算输入'!C5:C204,A31)&gt;0),SUMIFS('预算输入'!E5:E204,'预算输入'!A5:A204,'控制台'!B4,'预算输入'!B5:B204,'控制台'!B5,'预算输入'!C5:C204,A31),"")</f>
        <v/>
      </c>
      <c r="E31" s="6">
        <f>IF(OR(D31="",C31=""),"",C31-D31)</f>
        <v/>
      </c>
      <c r="F31" s="17">
        <f>IF(OR(D31="",D31=0),"",E31/ABS(D31))</f>
        <v/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>
        <f>IF('利润表'!A32="","",'利润表'!A32)</f>
        <v/>
      </c>
      <c r="B32" s="2">
        <f>IF('利润表'!B32="","",'利润表'!B32)</f>
        <v/>
      </c>
      <c r="C32" s="6">
        <f>IF(AND(AND('控制台'!B4&lt;&gt;"",'控制台'!B5&lt;&gt;"",'控制台'!B4='刷新信息'!B6,'控制台'!B5='刷新信息'!B8),ISNUMBER('利润表'!C32)),'利润表'!C32,"")</f>
        <v/>
      </c>
      <c r="D32" s="6">
        <f>IF(AND(AND('控制台'!B4&lt;&gt;"",'控制台'!B5&lt;&gt;"",'控制台'!B4='刷新信息'!B6,'控制台'!B5='刷新信息'!B8),COUNTIFS('预算输入'!A5:A204,'控制台'!B4,'预算输入'!B5:B204,'控制台'!B5,'预算输入'!C5:C204,A32)&gt;0),SUMIFS('预算输入'!E5:E204,'预算输入'!A5:A204,'控制台'!B4,'预算输入'!B5:B204,'控制台'!B5,'预算输入'!C5:C204,A32),"")</f>
        <v/>
      </c>
      <c r="E32" s="6">
        <f>IF(OR(D32="",C32=""),"",C32-D32)</f>
        <v/>
      </c>
      <c r="F32" s="17">
        <f>IF(OR(D32="",D32=0),"",E32/ABS(D32))</f>
        <v/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>
        <f>IF('利润表'!A33="","",'利润表'!A33)</f>
        <v/>
      </c>
      <c r="B33" s="2">
        <f>IF('利润表'!B33="","",'利润表'!B33)</f>
        <v/>
      </c>
      <c r="C33" s="6">
        <f>IF(AND(AND('控制台'!B4&lt;&gt;"",'控制台'!B5&lt;&gt;"",'控制台'!B4='刷新信息'!B6,'控制台'!B5='刷新信息'!B8),ISNUMBER('利润表'!C33)),'利润表'!C33,"")</f>
        <v/>
      </c>
      <c r="D33" s="6">
        <f>IF(AND(AND('控制台'!B4&lt;&gt;"",'控制台'!B5&lt;&gt;"",'控制台'!B4='刷新信息'!B6,'控制台'!B5='刷新信息'!B8),COUNTIFS('预算输入'!A5:A204,'控制台'!B4,'预算输入'!B5:B204,'控制台'!B5,'预算输入'!C5:C204,A33)&gt;0),SUMIFS('预算输入'!E5:E204,'预算输入'!A5:A204,'控制台'!B4,'预算输入'!B5:B204,'控制台'!B5,'预算输入'!C5:C204,A33),"")</f>
        <v/>
      </c>
      <c r="E33" s="6">
        <f>IF(OR(D33="",C33=""),"",C33-D33)</f>
        <v/>
      </c>
      <c r="F33" s="17">
        <f>IF(OR(D33="",D33=0),"",E33/ABS(D33))</f>
        <v/>
      </c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>
        <f>IF('利润表'!A34="","",'利润表'!A34)</f>
        <v/>
      </c>
      <c r="B34" s="2">
        <f>IF('利润表'!B34="","",'利润表'!B34)</f>
        <v/>
      </c>
      <c r="C34" s="6">
        <f>IF(AND(AND('控制台'!B4&lt;&gt;"",'控制台'!B5&lt;&gt;"",'控制台'!B4='刷新信息'!B6,'控制台'!B5='刷新信息'!B8),ISNUMBER('利润表'!C34)),'利润表'!C34,"")</f>
        <v/>
      </c>
      <c r="D34" s="6">
        <f>IF(AND(AND('控制台'!B4&lt;&gt;"",'控制台'!B5&lt;&gt;"",'控制台'!B4='刷新信息'!B6,'控制台'!B5='刷新信息'!B8),COUNTIFS('预算输入'!A5:A204,'控制台'!B4,'预算输入'!B5:B204,'控制台'!B5,'预算输入'!C5:C204,A34)&gt;0),SUMIFS('预算输入'!E5:E204,'预算输入'!A5:A204,'控制台'!B4,'预算输入'!B5:B204,'控制台'!B5,'预算输入'!C5:C204,A34),"")</f>
        <v/>
      </c>
      <c r="E34" s="6">
        <f>IF(OR(D34="",C34=""),"",C34-D34)</f>
        <v/>
      </c>
      <c r="F34" s="17">
        <f>IF(OR(D34="",D34=0),"",E34/ABS(D34))</f>
        <v/>
      </c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>
        <f>IF('利润表'!A35="","",'利润表'!A35)</f>
        <v/>
      </c>
      <c r="B35" s="2">
        <f>IF('利润表'!B35="","",'利润表'!B35)</f>
        <v/>
      </c>
      <c r="C35" s="6">
        <f>IF(AND(AND('控制台'!B4&lt;&gt;"",'控制台'!B5&lt;&gt;"",'控制台'!B4='刷新信息'!B6,'控制台'!B5='刷新信息'!B8),ISNUMBER('利润表'!C35)),'利润表'!C35,"")</f>
        <v/>
      </c>
      <c r="D35" s="6">
        <f>IF(AND(AND('控制台'!B4&lt;&gt;"",'控制台'!B5&lt;&gt;"",'控制台'!B4='刷新信息'!B6,'控制台'!B5='刷新信息'!B8),COUNTIFS('预算输入'!A5:A204,'控制台'!B4,'预算输入'!B5:B204,'控制台'!B5,'预算输入'!C5:C204,A35)&gt;0),SUMIFS('预算输入'!E5:E204,'预算输入'!A5:A204,'控制台'!B4,'预算输入'!B5:B204,'控制台'!B5,'预算输入'!C5:C204,A35),"")</f>
        <v/>
      </c>
      <c r="E35" s="6">
        <f>IF(OR(D35="",C35=""),"",C35-D35)</f>
        <v/>
      </c>
      <c r="F35" s="17">
        <f>IF(OR(D35="",D35=0),"",E35/ABS(D35))</f>
        <v/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>
        <f>IF('利润表'!A36="","",'利润表'!A36)</f>
        <v/>
      </c>
      <c r="B36" s="2">
        <f>IF('利润表'!B36="","",'利润表'!B36)</f>
        <v/>
      </c>
      <c r="C36" s="6">
        <f>IF(AND(AND('控制台'!B4&lt;&gt;"",'控制台'!B5&lt;&gt;"",'控制台'!B4='刷新信息'!B6,'控制台'!B5='刷新信息'!B8),ISNUMBER('利润表'!C36)),'利润表'!C36,"")</f>
        <v/>
      </c>
      <c r="D36" s="6">
        <f>IF(AND(AND('控制台'!B4&lt;&gt;"",'控制台'!B5&lt;&gt;"",'控制台'!B4='刷新信息'!B6,'控制台'!B5='刷新信息'!B8),COUNTIFS('预算输入'!A5:A204,'控制台'!B4,'预算输入'!B5:B204,'控制台'!B5,'预算输入'!C5:C204,A36)&gt;0),SUMIFS('预算输入'!E5:E204,'预算输入'!A5:A204,'控制台'!B4,'预算输入'!B5:B204,'控制台'!B5,'预算输入'!C5:C204,A36),"")</f>
        <v/>
      </c>
      <c r="E36" s="6">
        <f>IF(OR(D36="",C36=""),"",C36-D36)</f>
        <v/>
      </c>
      <c r="F36" s="17">
        <f>IF(OR(D36="",D36=0),"",E36/ABS(D36))</f>
        <v/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7" t="inlineStr">
        <is>
          <t>未核销单据输入</t>
        </is>
      </c>
      <c r="B1" s="8" t="n"/>
      <c r="C1" s="8" t="n"/>
      <c r="D1" s="8" t="n"/>
      <c r="E1" s="8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8" t="inlineStr">
        <is>
          <t>金额为截至所选月末仍未核销的人民币余额；不是发票原始总额。项目ID从往来余额复制。</t>
        </is>
      </c>
      <c r="B2" s="8" t="n"/>
      <c r="C2" s="8" t="n"/>
      <c r="D2" s="8" t="n"/>
      <c r="E2" s="8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8" t="n"/>
      <c r="B3" s="8" t="n"/>
      <c r="C3" s="8" t="n"/>
      <c r="D3" s="8" t="n"/>
      <c r="E3" s="8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9" t="inlineStr">
        <is>
          <t>公司编号</t>
        </is>
      </c>
      <c r="B4" s="9" t="inlineStr">
        <is>
          <t>月份</t>
        </is>
      </c>
      <c r="C4" s="9" t="inlineStr">
        <is>
          <t>应收/应付</t>
        </is>
      </c>
      <c r="D4" s="9" t="inlineStr">
        <is>
          <t>核算项目ID组合</t>
        </is>
      </c>
      <c r="E4" s="9" t="inlineStr">
        <is>
          <t>单据编号</t>
        </is>
      </c>
      <c r="F4" s="5" t="inlineStr">
        <is>
          <t>发生日期</t>
        </is>
      </c>
      <c r="G4" s="5" t="inlineStr">
        <is>
          <t>到期日期</t>
        </is>
      </c>
      <c r="H4" s="5" t="inlineStr">
        <is>
          <t>未核销金额</t>
        </is>
      </c>
      <c r="I4" s="5" t="inlineStr">
        <is>
          <t>账龄天数</t>
        </is>
      </c>
      <c r="J4" s="5" t="inlineStr">
        <is>
          <t>逾期天数</t>
        </is>
      </c>
      <c r="K4" s="5" t="inlineStr">
        <is>
          <t>核验</t>
        </is>
      </c>
      <c r="L4" s="2" t="n"/>
      <c r="M4" s="2" t="n"/>
      <c r="N4" s="2" t="n"/>
    </row>
    <row r="5" ht="23" customHeight="1">
      <c r="A5" s="10" t="n"/>
      <c r="B5" s="10" t="n"/>
      <c r="C5" s="10" t="n"/>
      <c r="D5" s="10" t="n"/>
      <c r="E5" s="10" t="n"/>
      <c r="F5" s="18" t="n"/>
      <c r="G5" s="18" t="n"/>
      <c r="H5" s="12" t="n"/>
      <c r="I5" s="2">
        <f>IF(OR(A5&lt;&gt; '控制台'!B4,B5&lt;&gt; '控制台'!B5,F5=""),"",DATE(VALUE(LEFT('控制台'!B5,4)),VALUE(RIGHT('控制台'!B5,2))+1,1)-1-F5)</f>
        <v/>
      </c>
      <c r="J5" s="2">
        <f>IF(OR(A5&lt;&gt; '控制台'!B4,B5&lt;&gt; '控制台'!B5,G5=""),"",MAX(0,DATE(VALUE(LEFT('控制台'!B5,4)),VALUE(RIGHT('控制台'!B5,2))+1,1)-1-G5))</f>
        <v/>
      </c>
      <c r="K5" s="2">
        <f>IF(A5="","",IF(AND(AND('控制台'!B4&lt;&gt;"",'控制台'!B5&lt;&gt;"",'控制台'!B4='刷新信息'!B6,'控制台'!B5='刷新信息'!B8),A5='控制台'!B4,B5='控制台'!B5,OR(C5="应收",C5="应付"),COUNTIFS('往来余额'!A5:A6000,C5,'往来余额'!B5:B6000,D5)=1,E5&lt;&gt;"",COUNTIFS(A$5:A$504,A5,B$5:B$504,B5,C$5:C$504,C5,D$5:D$504,D5,E$5:E$504,E5)=1,ISNUMBER(F5),I5&gt;=0,ISNUMBER(H5),H5&gt;=0),"纳入","待核实"))</f>
        <v/>
      </c>
      <c r="L5" s="2" t="n"/>
      <c r="M5" s="2" t="n"/>
      <c r="N5" s="2" t="n"/>
    </row>
    <row r="6" ht="23" customHeight="1">
      <c r="A6" s="10" t="n"/>
      <c r="B6" s="10" t="n"/>
      <c r="C6" s="10" t="n"/>
      <c r="D6" s="10" t="n"/>
      <c r="E6" s="10" t="n"/>
      <c r="F6" s="18" t="n"/>
      <c r="G6" s="18" t="n"/>
      <c r="H6" s="12" t="n"/>
      <c r="I6" s="2">
        <f>IF(OR(A6&lt;&gt; '控制台'!B4,B6&lt;&gt; '控制台'!B5,F6=""),"",DATE(VALUE(LEFT('控制台'!B5,4)),VALUE(RIGHT('控制台'!B5,2))+1,1)-1-F6)</f>
        <v/>
      </c>
      <c r="J6" s="2">
        <f>IF(OR(A6&lt;&gt; '控制台'!B4,B6&lt;&gt; '控制台'!B5,G6=""),"",MAX(0,DATE(VALUE(LEFT('控制台'!B5,4)),VALUE(RIGHT('控制台'!B5,2))+1,1)-1-G6))</f>
        <v/>
      </c>
      <c r="K6" s="2">
        <f>IF(A6="","",IF(AND(AND('控制台'!B4&lt;&gt;"",'控制台'!B5&lt;&gt;"",'控制台'!B4='刷新信息'!B6,'控制台'!B5='刷新信息'!B8),A6='控制台'!B4,B6='控制台'!B5,OR(C6="应收",C6="应付"),COUNTIFS('往来余额'!A5:A6000,C6,'往来余额'!B5:B6000,D6)=1,E6&lt;&gt;"",COUNTIFS(A$5:A$504,A6,B$5:B$504,B6,C$5:C$504,C6,D$5:D$504,D6,E$5:E$504,E6)=1,ISNUMBER(F6),I6&gt;=0,ISNUMBER(H6),H6&gt;=0),"纳入","待核实"))</f>
        <v/>
      </c>
      <c r="L6" s="2" t="n"/>
      <c r="M6" s="2" t="n"/>
      <c r="N6" s="2" t="n"/>
    </row>
    <row r="7" ht="23" customHeight="1">
      <c r="A7" s="10" t="n"/>
      <c r="B7" s="10" t="n"/>
      <c r="C7" s="10" t="n"/>
      <c r="D7" s="10" t="n"/>
      <c r="E7" s="10" t="n"/>
      <c r="F7" s="18" t="n"/>
      <c r="G7" s="18" t="n"/>
      <c r="H7" s="12" t="n"/>
      <c r="I7" s="2">
        <f>IF(OR(A7&lt;&gt; '控制台'!B4,B7&lt;&gt; '控制台'!B5,F7=""),"",DATE(VALUE(LEFT('控制台'!B5,4)),VALUE(RIGHT('控制台'!B5,2))+1,1)-1-F7)</f>
        <v/>
      </c>
      <c r="J7" s="2">
        <f>IF(OR(A7&lt;&gt; '控制台'!B4,B7&lt;&gt; '控制台'!B5,G7=""),"",MAX(0,DATE(VALUE(LEFT('控制台'!B5,4)),VALUE(RIGHT('控制台'!B5,2))+1,1)-1-G7))</f>
        <v/>
      </c>
      <c r="K7" s="2">
        <f>IF(A7="","",IF(AND(AND('控制台'!B4&lt;&gt;"",'控制台'!B5&lt;&gt;"",'控制台'!B4='刷新信息'!B6,'控制台'!B5='刷新信息'!B8),A7='控制台'!B4,B7='控制台'!B5,OR(C7="应收",C7="应付"),COUNTIFS('往来余额'!A5:A6000,C7,'往来余额'!B5:B6000,D7)=1,E7&lt;&gt;"",COUNTIFS(A$5:A$504,A7,B$5:B$504,B7,C$5:C$504,C7,D$5:D$504,D7,E$5:E$504,E7)=1,ISNUMBER(F7),I7&gt;=0,ISNUMBER(H7),H7&gt;=0),"纳入","待核实"))</f>
        <v/>
      </c>
      <c r="L7" s="2" t="n"/>
      <c r="M7" s="2" t="n"/>
      <c r="N7" s="2" t="n"/>
    </row>
    <row r="8" ht="23" customHeight="1">
      <c r="A8" s="10" t="n"/>
      <c r="B8" s="10" t="n"/>
      <c r="C8" s="10" t="n"/>
      <c r="D8" s="10" t="n"/>
      <c r="E8" s="10" t="n"/>
      <c r="F8" s="18" t="n"/>
      <c r="G8" s="18" t="n"/>
      <c r="H8" s="12" t="n"/>
      <c r="I8" s="2">
        <f>IF(OR(A8&lt;&gt; '控制台'!B4,B8&lt;&gt; '控制台'!B5,F8=""),"",DATE(VALUE(LEFT('控制台'!B5,4)),VALUE(RIGHT('控制台'!B5,2))+1,1)-1-F8)</f>
        <v/>
      </c>
      <c r="J8" s="2">
        <f>IF(OR(A8&lt;&gt; '控制台'!B4,B8&lt;&gt; '控制台'!B5,G8=""),"",MAX(0,DATE(VALUE(LEFT('控制台'!B5,4)),VALUE(RIGHT('控制台'!B5,2))+1,1)-1-G8))</f>
        <v/>
      </c>
      <c r="K8" s="2">
        <f>IF(A8="","",IF(AND(AND('控制台'!B4&lt;&gt;"",'控制台'!B5&lt;&gt;"",'控制台'!B4='刷新信息'!B6,'控制台'!B5='刷新信息'!B8),A8='控制台'!B4,B8='控制台'!B5,OR(C8="应收",C8="应付"),COUNTIFS('往来余额'!A5:A6000,C8,'往来余额'!B5:B6000,D8)=1,E8&lt;&gt;"",COUNTIFS(A$5:A$504,A8,B$5:B$504,B8,C$5:C$504,C8,D$5:D$504,D8,E$5:E$504,E8)=1,ISNUMBER(F8),I8&gt;=0,ISNUMBER(H8),H8&gt;=0),"纳入","待核实"))</f>
        <v/>
      </c>
      <c r="L8" s="2" t="n"/>
      <c r="M8" s="2" t="n"/>
      <c r="N8" s="2" t="n"/>
    </row>
    <row r="9" ht="23" customHeight="1">
      <c r="A9" s="10" t="n"/>
      <c r="B9" s="10" t="n"/>
      <c r="C9" s="10" t="n"/>
      <c r="D9" s="10" t="n"/>
      <c r="E9" s="10" t="n"/>
      <c r="F9" s="18" t="n"/>
      <c r="G9" s="18" t="n"/>
      <c r="H9" s="12" t="n"/>
      <c r="I9" s="2">
        <f>IF(OR(A9&lt;&gt; '控制台'!B4,B9&lt;&gt; '控制台'!B5,F9=""),"",DATE(VALUE(LEFT('控制台'!B5,4)),VALUE(RIGHT('控制台'!B5,2))+1,1)-1-F9)</f>
        <v/>
      </c>
      <c r="J9" s="2">
        <f>IF(OR(A9&lt;&gt; '控制台'!B4,B9&lt;&gt; '控制台'!B5,G9=""),"",MAX(0,DATE(VALUE(LEFT('控制台'!B5,4)),VALUE(RIGHT('控制台'!B5,2))+1,1)-1-G9))</f>
        <v/>
      </c>
      <c r="K9" s="2">
        <f>IF(A9="","",IF(AND(AND('控制台'!B4&lt;&gt;"",'控制台'!B5&lt;&gt;"",'控制台'!B4='刷新信息'!B6,'控制台'!B5='刷新信息'!B8),A9='控制台'!B4,B9='控制台'!B5,OR(C9="应收",C9="应付"),COUNTIFS('往来余额'!A5:A6000,C9,'往来余额'!B5:B6000,D9)=1,E9&lt;&gt;"",COUNTIFS(A$5:A$504,A9,B$5:B$504,B9,C$5:C$504,C9,D$5:D$504,D9,E$5:E$504,E9)=1,ISNUMBER(F9),I9&gt;=0,ISNUMBER(H9),H9&gt;=0),"纳入","待核实"))</f>
        <v/>
      </c>
      <c r="L9" s="2" t="n"/>
      <c r="M9" s="2" t="n"/>
      <c r="N9" s="2" t="n"/>
    </row>
    <row r="10" ht="23" customHeight="1">
      <c r="A10" s="10" t="n"/>
      <c r="B10" s="10" t="n"/>
      <c r="C10" s="10" t="n"/>
      <c r="D10" s="10" t="n"/>
      <c r="E10" s="10" t="n"/>
      <c r="F10" s="18" t="n"/>
      <c r="G10" s="18" t="n"/>
      <c r="H10" s="12" t="n"/>
      <c r="I10" s="2">
        <f>IF(OR(A10&lt;&gt; '控制台'!B4,B10&lt;&gt; '控制台'!B5,F10=""),"",DATE(VALUE(LEFT('控制台'!B5,4)),VALUE(RIGHT('控制台'!B5,2))+1,1)-1-F10)</f>
        <v/>
      </c>
      <c r="J10" s="2">
        <f>IF(OR(A10&lt;&gt; '控制台'!B4,B10&lt;&gt; '控制台'!B5,G10=""),"",MAX(0,DATE(VALUE(LEFT('控制台'!B5,4)),VALUE(RIGHT('控制台'!B5,2))+1,1)-1-G10))</f>
        <v/>
      </c>
      <c r="K10" s="2">
        <f>IF(A10="","",IF(AND(AND('控制台'!B4&lt;&gt;"",'控制台'!B5&lt;&gt;"",'控制台'!B4='刷新信息'!B6,'控制台'!B5='刷新信息'!B8),A10='控制台'!B4,B10='控制台'!B5,OR(C10="应收",C10="应付"),COUNTIFS('往来余额'!A5:A6000,C10,'往来余额'!B5:B6000,D10)=1,E10&lt;&gt;"",COUNTIFS(A$5:A$504,A10,B$5:B$504,B10,C$5:C$504,C10,D$5:D$504,D10,E$5:E$504,E10)=1,ISNUMBER(F10),I10&gt;=0,ISNUMBER(H10),H10&gt;=0),"纳入","待核实"))</f>
        <v/>
      </c>
      <c r="L10" s="2" t="n"/>
      <c r="M10" s="2" t="n"/>
      <c r="N10" s="2" t="n"/>
    </row>
    <row r="11" ht="23" customHeight="1">
      <c r="A11" s="10" t="n"/>
      <c r="B11" s="10" t="n"/>
      <c r="C11" s="10" t="n"/>
      <c r="D11" s="10" t="n"/>
      <c r="E11" s="10" t="n"/>
      <c r="F11" s="18" t="n"/>
      <c r="G11" s="18" t="n"/>
      <c r="H11" s="12" t="n"/>
      <c r="I11" s="2">
        <f>IF(OR(A11&lt;&gt; '控制台'!B4,B11&lt;&gt; '控制台'!B5,F11=""),"",DATE(VALUE(LEFT('控制台'!B5,4)),VALUE(RIGHT('控制台'!B5,2))+1,1)-1-F11)</f>
        <v/>
      </c>
      <c r="J11" s="2">
        <f>IF(OR(A11&lt;&gt; '控制台'!B4,B11&lt;&gt; '控制台'!B5,G11=""),"",MAX(0,DATE(VALUE(LEFT('控制台'!B5,4)),VALUE(RIGHT('控制台'!B5,2))+1,1)-1-G11))</f>
        <v/>
      </c>
      <c r="K11" s="2">
        <f>IF(A11="","",IF(AND(AND('控制台'!B4&lt;&gt;"",'控制台'!B5&lt;&gt;"",'控制台'!B4='刷新信息'!B6,'控制台'!B5='刷新信息'!B8),A11='控制台'!B4,B11='控制台'!B5,OR(C11="应收",C11="应付"),COUNTIFS('往来余额'!A5:A6000,C11,'往来余额'!B5:B6000,D11)=1,E11&lt;&gt;"",COUNTIFS(A$5:A$504,A11,B$5:B$504,B11,C$5:C$504,C11,D$5:D$504,D11,E$5:E$504,E11)=1,ISNUMBER(F11),I11&gt;=0,ISNUMBER(H11),H11&gt;=0),"纳入","待核实"))</f>
        <v/>
      </c>
      <c r="L11" s="2" t="n"/>
      <c r="M11" s="2" t="n"/>
      <c r="N11" s="2" t="n"/>
    </row>
    <row r="12" ht="23" customHeight="1">
      <c r="A12" s="10" t="n"/>
      <c r="B12" s="10" t="n"/>
      <c r="C12" s="10" t="n"/>
      <c r="D12" s="10" t="n"/>
      <c r="E12" s="10" t="n"/>
      <c r="F12" s="18" t="n"/>
      <c r="G12" s="18" t="n"/>
      <c r="H12" s="12" t="n"/>
      <c r="I12" s="2">
        <f>IF(OR(A12&lt;&gt; '控制台'!B4,B12&lt;&gt; '控制台'!B5,F12=""),"",DATE(VALUE(LEFT('控制台'!B5,4)),VALUE(RIGHT('控制台'!B5,2))+1,1)-1-F12)</f>
        <v/>
      </c>
      <c r="J12" s="2">
        <f>IF(OR(A12&lt;&gt; '控制台'!B4,B12&lt;&gt; '控制台'!B5,G12=""),"",MAX(0,DATE(VALUE(LEFT('控制台'!B5,4)),VALUE(RIGHT('控制台'!B5,2))+1,1)-1-G12))</f>
        <v/>
      </c>
      <c r="K12" s="2">
        <f>IF(A12="","",IF(AND(AND('控制台'!B4&lt;&gt;"",'控制台'!B5&lt;&gt;"",'控制台'!B4='刷新信息'!B6,'控制台'!B5='刷新信息'!B8),A12='控制台'!B4,B12='控制台'!B5,OR(C12="应收",C12="应付"),COUNTIFS('往来余额'!A5:A6000,C12,'往来余额'!B5:B6000,D12)=1,E12&lt;&gt;"",COUNTIFS(A$5:A$504,A12,B$5:B$504,B12,C$5:C$504,C12,D$5:D$504,D12,E$5:E$504,E12)=1,ISNUMBER(F12),I12&gt;=0,ISNUMBER(H12),H12&gt;=0),"纳入","待核实"))</f>
        <v/>
      </c>
      <c r="L12" s="2" t="n"/>
      <c r="M12" s="2" t="n"/>
      <c r="N12" s="2" t="n"/>
    </row>
    <row r="13" ht="23" customHeight="1">
      <c r="A13" s="10" t="n"/>
      <c r="B13" s="10" t="n"/>
      <c r="C13" s="10" t="n"/>
      <c r="D13" s="10" t="n"/>
      <c r="E13" s="10" t="n"/>
      <c r="F13" s="18" t="n"/>
      <c r="G13" s="18" t="n"/>
      <c r="H13" s="12" t="n"/>
      <c r="I13" s="2">
        <f>IF(OR(A13&lt;&gt; '控制台'!B4,B13&lt;&gt; '控制台'!B5,F13=""),"",DATE(VALUE(LEFT('控制台'!B5,4)),VALUE(RIGHT('控制台'!B5,2))+1,1)-1-F13)</f>
        <v/>
      </c>
      <c r="J13" s="2">
        <f>IF(OR(A13&lt;&gt; '控制台'!B4,B13&lt;&gt; '控制台'!B5,G13=""),"",MAX(0,DATE(VALUE(LEFT('控制台'!B5,4)),VALUE(RIGHT('控制台'!B5,2))+1,1)-1-G13))</f>
        <v/>
      </c>
      <c r="K13" s="2">
        <f>IF(A13="","",IF(AND(AND('控制台'!B4&lt;&gt;"",'控制台'!B5&lt;&gt;"",'控制台'!B4='刷新信息'!B6,'控制台'!B5='刷新信息'!B8),A13='控制台'!B4,B13='控制台'!B5,OR(C13="应收",C13="应付"),COUNTIFS('往来余额'!A5:A6000,C13,'往来余额'!B5:B6000,D13)=1,E13&lt;&gt;"",COUNTIFS(A$5:A$504,A13,B$5:B$504,B13,C$5:C$504,C13,D$5:D$504,D13,E$5:E$504,E13)=1,ISNUMBER(F13),I13&gt;=0,ISNUMBER(H13),H13&gt;=0),"纳入","待核实"))</f>
        <v/>
      </c>
      <c r="L13" s="2" t="n"/>
      <c r="M13" s="2" t="n"/>
      <c r="N13" s="2" t="n"/>
    </row>
    <row r="14" ht="23" customHeight="1">
      <c r="A14" s="10" t="n"/>
      <c r="B14" s="10" t="n"/>
      <c r="C14" s="10" t="n"/>
      <c r="D14" s="10" t="n"/>
      <c r="E14" s="10" t="n"/>
      <c r="F14" s="18" t="n"/>
      <c r="G14" s="18" t="n"/>
      <c r="H14" s="12" t="n"/>
      <c r="I14" s="2">
        <f>IF(OR(A14&lt;&gt; '控制台'!B4,B14&lt;&gt; '控制台'!B5,F14=""),"",DATE(VALUE(LEFT('控制台'!B5,4)),VALUE(RIGHT('控制台'!B5,2))+1,1)-1-F14)</f>
        <v/>
      </c>
      <c r="J14" s="2">
        <f>IF(OR(A14&lt;&gt; '控制台'!B4,B14&lt;&gt; '控制台'!B5,G14=""),"",MAX(0,DATE(VALUE(LEFT('控制台'!B5,4)),VALUE(RIGHT('控制台'!B5,2))+1,1)-1-G14))</f>
        <v/>
      </c>
      <c r="K14" s="2">
        <f>IF(A14="","",IF(AND(AND('控制台'!B4&lt;&gt;"",'控制台'!B5&lt;&gt;"",'控制台'!B4='刷新信息'!B6,'控制台'!B5='刷新信息'!B8),A14='控制台'!B4,B14='控制台'!B5,OR(C14="应收",C14="应付"),COUNTIFS('往来余额'!A5:A6000,C14,'往来余额'!B5:B6000,D14)=1,E14&lt;&gt;"",COUNTIFS(A$5:A$504,A14,B$5:B$504,B14,C$5:C$504,C14,D$5:D$504,D14,E$5:E$504,E14)=1,ISNUMBER(F14),I14&gt;=0,ISNUMBER(H14),H14&gt;=0),"纳入","待核实"))</f>
        <v/>
      </c>
      <c r="L14" s="2" t="n"/>
      <c r="M14" s="2" t="n"/>
      <c r="N14" s="2" t="n"/>
    </row>
    <row r="15" ht="23" customHeight="1">
      <c r="A15" s="10" t="n"/>
      <c r="B15" s="10" t="n"/>
      <c r="C15" s="10" t="n"/>
      <c r="D15" s="10" t="n"/>
      <c r="E15" s="10" t="n"/>
      <c r="F15" s="18" t="n"/>
      <c r="G15" s="18" t="n"/>
      <c r="H15" s="12" t="n"/>
      <c r="I15" s="2">
        <f>IF(OR(A15&lt;&gt; '控制台'!B4,B15&lt;&gt; '控制台'!B5,F15=""),"",DATE(VALUE(LEFT('控制台'!B5,4)),VALUE(RIGHT('控制台'!B5,2))+1,1)-1-F15)</f>
        <v/>
      </c>
      <c r="J15" s="2">
        <f>IF(OR(A15&lt;&gt; '控制台'!B4,B15&lt;&gt; '控制台'!B5,G15=""),"",MAX(0,DATE(VALUE(LEFT('控制台'!B5,4)),VALUE(RIGHT('控制台'!B5,2))+1,1)-1-G15))</f>
        <v/>
      </c>
      <c r="K15" s="2">
        <f>IF(A15="","",IF(AND(AND('控制台'!B4&lt;&gt;"",'控制台'!B5&lt;&gt;"",'控制台'!B4='刷新信息'!B6,'控制台'!B5='刷新信息'!B8),A15='控制台'!B4,B15='控制台'!B5,OR(C15="应收",C15="应付"),COUNTIFS('往来余额'!A5:A6000,C15,'往来余额'!B5:B6000,D15)=1,E15&lt;&gt;"",COUNTIFS(A$5:A$504,A15,B$5:B$504,B15,C$5:C$504,C15,D$5:D$504,D15,E$5:E$504,E15)=1,ISNUMBER(F15),I15&gt;=0,ISNUMBER(H15),H15&gt;=0),"纳入","待核实"))</f>
        <v/>
      </c>
      <c r="L15" s="2" t="n"/>
      <c r="M15" s="2" t="n"/>
      <c r="N15" s="2" t="n"/>
    </row>
    <row r="16" ht="23" customHeight="1">
      <c r="A16" s="10" t="n"/>
      <c r="B16" s="10" t="n"/>
      <c r="C16" s="10" t="n"/>
      <c r="D16" s="10" t="n"/>
      <c r="E16" s="10" t="n"/>
      <c r="F16" s="18" t="n"/>
      <c r="G16" s="18" t="n"/>
      <c r="H16" s="12" t="n"/>
      <c r="I16" s="2">
        <f>IF(OR(A16&lt;&gt; '控制台'!B4,B16&lt;&gt; '控制台'!B5,F16=""),"",DATE(VALUE(LEFT('控制台'!B5,4)),VALUE(RIGHT('控制台'!B5,2))+1,1)-1-F16)</f>
        <v/>
      </c>
      <c r="J16" s="2">
        <f>IF(OR(A16&lt;&gt; '控制台'!B4,B16&lt;&gt; '控制台'!B5,G16=""),"",MAX(0,DATE(VALUE(LEFT('控制台'!B5,4)),VALUE(RIGHT('控制台'!B5,2))+1,1)-1-G16))</f>
        <v/>
      </c>
      <c r="K16" s="2">
        <f>IF(A16="","",IF(AND(AND('控制台'!B4&lt;&gt;"",'控制台'!B5&lt;&gt;"",'控制台'!B4='刷新信息'!B6,'控制台'!B5='刷新信息'!B8),A16='控制台'!B4,B16='控制台'!B5,OR(C16="应收",C16="应付"),COUNTIFS('往来余额'!A5:A6000,C16,'往来余额'!B5:B6000,D16)=1,E16&lt;&gt;"",COUNTIFS(A$5:A$504,A16,B$5:B$504,B16,C$5:C$504,C16,D$5:D$504,D16,E$5:E$504,E16)=1,ISNUMBER(F16),I16&gt;=0,ISNUMBER(H16),H16&gt;=0),"纳入","待核实"))</f>
        <v/>
      </c>
      <c r="L16" s="2" t="n"/>
      <c r="M16" s="2" t="n"/>
      <c r="N16" s="2" t="n"/>
    </row>
    <row r="17" ht="23" customHeight="1">
      <c r="A17" s="10" t="n"/>
      <c r="B17" s="10" t="n"/>
      <c r="C17" s="10" t="n"/>
      <c r="D17" s="10" t="n"/>
      <c r="E17" s="10" t="n"/>
      <c r="F17" s="18" t="n"/>
      <c r="G17" s="18" t="n"/>
      <c r="H17" s="12" t="n"/>
      <c r="I17" s="2">
        <f>IF(OR(A17&lt;&gt; '控制台'!B4,B17&lt;&gt; '控制台'!B5,F17=""),"",DATE(VALUE(LEFT('控制台'!B5,4)),VALUE(RIGHT('控制台'!B5,2))+1,1)-1-F17)</f>
        <v/>
      </c>
      <c r="J17" s="2">
        <f>IF(OR(A17&lt;&gt; '控制台'!B4,B17&lt;&gt; '控制台'!B5,G17=""),"",MAX(0,DATE(VALUE(LEFT('控制台'!B5,4)),VALUE(RIGHT('控制台'!B5,2))+1,1)-1-G17))</f>
        <v/>
      </c>
      <c r="K17" s="2">
        <f>IF(A17="","",IF(AND(AND('控制台'!B4&lt;&gt;"",'控制台'!B5&lt;&gt;"",'控制台'!B4='刷新信息'!B6,'控制台'!B5='刷新信息'!B8),A17='控制台'!B4,B17='控制台'!B5,OR(C17="应收",C17="应付"),COUNTIFS('往来余额'!A5:A6000,C17,'往来余额'!B5:B6000,D17)=1,E17&lt;&gt;"",COUNTIFS(A$5:A$504,A17,B$5:B$504,B17,C$5:C$504,C17,D$5:D$504,D17,E$5:E$504,E17)=1,ISNUMBER(F17),I17&gt;=0,ISNUMBER(H17),H17&gt;=0),"纳入","待核实"))</f>
        <v/>
      </c>
      <c r="L17" s="2" t="n"/>
      <c r="M17" s="2" t="n"/>
      <c r="N17" s="2" t="n"/>
    </row>
    <row r="18" ht="23" customHeight="1">
      <c r="A18" s="10" t="n"/>
      <c r="B18" s="10" t="n"/>
      <c r="C18" s="10" t="n"/>
      <c r="D18" s="10" t="n"/>
      <c r="E18" s="10" t="n"/>
      <c r="F18" s="18" t="n"/>
      <c r="G18" s="18" t="n"/>
      <c r="H18" s="12" t="n"/>
      <c r="I18" s="2">
        <f>IF(OR(A18&lt;&gt; '控制台'!B4,B18&lt;&gt; '控制台'!B5,F18=""),"",DATE(VALUE(LEFT('控制台'!B5,4)),VALUE(RIGHT('控制台'!B5,2))+1,1)-1-F18)</f>
        <v/>
      </c>
      <c r="J18" s="2">
        <f>IF(OR(A18&lt;&gt; '控制台'!B4,B18&lt;&gt; '控制台'!B5,G18=""),"",MAX(0,DATE(VALUE(LEFT('控制台'!B5,4)),VALUE(RIGHT('控制台'!B5,2))+1,1)-1-G18))</f>
        <v/>
      </c>
      <c r="K18" s="2">
        <f>IF(A18="","",IF(AND(AND('控制台'!B4&lt;&gt;"",'控制台'!B5&lt;&gt;"",'控制台'!B4='刷新信息'!B6,'控制台'!B5='刷新信息'!B8),A18='控制台'!B4,B18='控制台'!B5,OR(C18="应收",C18="应付"),COUNTIFS('往来余额'!A5:A6000,C18,'往来余额'!B5:B6000,D18)=1,E18&lt;&gt;"",COUNTIFS(A$5:A$504,A18,B$5:B$504,B18,C$5:C$504,C18,D$5:D$504,D18,E$5:E$504,E18)=1,ISNUMBER(F18),I18&gt;=0,ISNUMBER(H18),H18&gt;=0),"纳入","待核实"))</f>
        <v/>
      </c>
      <c r="L18" s="2" t="n"/>
      <c r="M18" s="2" t="n"/>
      <c r="N18" s="2" t="n"/>
    </row>
    <row r="19" ht="23" customHeight="1">
      <c r="A19" s="10" t="n"/>
      <c r="B19" s="10" t="n"/>
      <c r="C19" s="10" t="n"/>
      <c r="D19" s="10" t="n"/>
      <c r="E19" s="10" t="n"/>
      <c r="F19" s="18" t="n"/>
      <c r="G19" s="18" t="n"/>
      <c r="H19" s="12" t="n"/>
      <c r="I19" s="2">
        <f>IF(OR(A19&lt;&gt; '控制台'!B4,B19&lt;&gt; '控制台'!B5,F19=""),"",DATE(VALUE(LEFT('控制台'!B5,4)),VALUE(RIGHT('控制台'!B5,2))+1,1)-1-F19)</f>
        <v/>
      </c>
      <c r="J19" s="2">
        <f>IF(OR(A19&lt;&gt; '控制台'!B4,B19&lt;&gt; '控制台'!B5,G19=""),"",MAX(0,DATE(VALUE(LEFT('控制台'!B5,4)),VALUE(RIGHT('控制台'!B5,2))+1,1)-1-G19))</f>
        <v/>
      </c>
      <c r="K19" s="2">
        <f>IF(A19="","",IF(AND(AND('控制台'!B4&lt;&gt;"",'控制台'!B5&lt;&gt;"",'控制台'!B4='刷新信息'!B6,'控制台'!B5='刷新信息'!B8),A19='控制台'!B4,B19='控制台'!B5,OR(C19="应收",C19="应付"),COUNTIFS('往来余额'!A5:A6000,C19,'往来余额'!B5:B6000,D19)=1,E19&lt;&gt;"",COUNTIFS(A$5:A$504,A19,B$5:B$504,B19,C$5:C$504,C19,D$5:D$504,D19,E$5:E$504,E19)=1,ISNUMBER(F19),I19&gt;=0,ISNUMBER(H19),H19&gt;=0),"纳入","待核实"))</f>
        <v/>
      </c>
      <c r="L19" s="2" t="n"/>
      <c r="M19" s="2" t="n"/>
      <c r="N19" s="2" t="n"/>
    </row>
    <row r="20" ht="23" customHeight="1">
      <c r="A20" s="10" t="n"/>
      <c r="B20" s="10" t="n"/>
      <c r="C20" s="10" t="n"/>
      <c r="D20" s="10" t="n"/>
      <c r="E20" s="10" t="n"/>
      <c r="F20" s="18" t="n"/>
      <c r="G20" s="18" t="n"/>
      <c r="H20" s="12" t="n"/>
      <c r="I20" s="2">
        <f>IF(OR(A20&lt;&gt; '控制台'!B4,B20&lt;&gt; '控制台'!B5,F20=""),"",DATE(VALUE(LEFT('控制台'!B5,4)),VALUE(RIGHT('控制台'!B5,2))+1,1)-1-F20)</f>
        <v/>
      </c>
      <c r="J20" s="2">
        <f>IF(OR(A20&lt;&gt; '控制台'!B4,B20&lt;&gt; '控制台'!B5,G20=""),"",MAX(0,DATE(VALUE(LEFT('控制台'!B5,4)),VALUE(RIGHT('控制台'!B5,2))+1,1)-1-G20))</f>
        <v/>
      </c>
      <c r="K20" s="2">
        <f>IF(A20="","",IF(AND(AND('控制台'!B4&lt;&gt;"",'控制台'!B5&lt;&gt;"",'控制台'!B4='刷新信息'!B6,'控制台'!B5='刷新信息'!B8),A20='控制台'!B4,B20='控制台'!B5,OR(C20="应收",C20="应付"),COUNTIFS('往来余额'!A5:A6000,C20,'往来余额'!B5:B6000,D20)=1,E20&lt;&gt;"",COUNTIFS(A$5:A$504,A20,B$5:B$504,B20,C$5:C$504,C20,D$5:D$504,D20,E$5:E$504,E20)=1,ISNUMBER(F20),I20&gt;=0,ISNUMBER(H20),H20&gt;=0),"纳入","待核实"))</f>
        <v/>
      </c>
      <c r="L20" s="2" t="n"/>
      <c r="M20" s="2" t="n"/>
      <c r="N20" s="2" t="n"/>
    </row>
    <row r="21" ht="23" customHeight="1">
      <c r="A21" s="10" t="n"/>
      <c r="B21" s="10" t="n"/>
      <c r="C21" s="10" t="n"/>
      <c r="D21" s="10" t="n"/>
      <c r="E21" s="10" t="n"/>
      <c r="F21" s="18" t="n"/>
      <c r="G21" s="18" t="n"/>
      <c r="H21" s="12" t="n"/>
      <c r="I21" s="2">
        <f>IF(OR(A21&lt;&gt; '控制台'!B4,B21&lt;&gt; '控制台'!B5,F21=""),"",DATE(VALUE(LEFT('控制台'!B5,4)),VALUE(RIGHT('控制台'!B5,2))+1,1)-1-F21)</f>
        <v/>
      </c>
      <c r="J21" s="2">
        <f>IF(OR(A21&lt;&gt; '控制台'!B4,B21&lt;&gt; '控制台'!B5,G21=""),"",MAX(0,DATE(VALUE(LEFT('控制台'!B5,4)),VALUE(RIGHT('控制台'!B5,2))+1,1)-1-G21))</f>
        <v/>
      </c>
      <c r="K21" s="2">
        <f>IF(A21="","",IF(AND(AND('控制台'!B4&lt;&gt;"",'控制台'!B5&lt;&gt;"",'控制台'!B4='刷新信息'!B6,'控制台'!B5='刷新信息'!B8),A21='控制台'!B4,B21='控制台'!B5,OR(C21="应收",C21="应付"),COUNTIFS('往来余额'!A5:A6000,C21,'往来余额'!B5:B6000,D21)=1,E21&lt;&gt;"",COUNTIFS(A$5:A$504,A21,B$5:B$504,B21,C$5:C$504,C21,D$5:D$504,D21,E$5:E$504,E21)=1,ISNUMBER(F21),I21&gt;=0,ISNUMBER(H21),H21&gt;=0),"纳入","待核实"))</f>
        <v/>
      </c>
      <c r="L21" s="2" t="n"/>
      <c r="M21" s="2" t="n"/>
      <c r="N21" s="2" t="n"/>
    </row>
    <row r="22" ht="23" customHeight="1">
      <c r="A22" s="10" t="n"/>
      <c r="B22" s="10" t="n"/>
      <c r="C22" s="10" t="n"/>
      <c r="D22" s="10" t="n"/>
      <c r="E22" s="10" t="n"/>
      <c r="F22" s="18" t="n"/>
      <c r="G22" s="18" t="n"/>
      <c r="H22" s="12" t="n"/>
      <c r="I22" s="2">
        <f>IF(OR(A22&lt;&gt; '控制台'!B4,B22&lt;&gt; '控制台'!B5,F22=""),"",DATE(VALUE(LEFT('控制台'!B5,4)),VALUE(RIGHT('控制台'!B5,2))+1,1)-1-F22)</f>
        <v/>
      </c>
      <c r="J22" s="2">
        <f>IF(OR(A22&lt;&gt; '控制台'!B4,B22&lt;&gt; '控制台'!B5,G22=""),"",MAX(0,DATE(VALUE(LEFT('控制台'!B5,4)),VALUE(RIGHT('控制台'!B5,2))+1,1)-1-G22))</f>
        <v/>
      </c>
      <c r="K22" s="2">
        <f>IF(A22="","",IF(AND(AND('控制台'!B4&lt;&gt;"",'控制台'!B5&lt;&gt;"",'控制台'!B4='刷新信息'!B6,'控制台'!B5='刷新信息'!B8),A22='控制台'!B4,B22='控制台'!B5,OR(C22="应收",C22="应付"),COUNTIFS('往来余额'!A5:A6000,C22,'往来余额'!B5:B6000,D22)=1,E22&lt;&gt;"",COUNTIFS(A$5:A$504,A22,B$5:B$504,B22,C$5:C$504,C22,D$5:D$504,D22,E$5:E$504,E22)=1,ISNUMBER(F22),I22&gt;=0,ISNUMBER(H22),H22&gt;=0),"纳入","待核实"))</f>
        <v/>
      </c>
      <c r="L22" s="2" t="n"/>
      <c r="M22" s="2" t="n"/>
      <c r="N22" s="2" t="n"/>
    </row>
    <row r="23" ht="23" customHeight="1">
      <c r="A23" s="10" t="n"/>
      <c r="B23" s="10" t="n"/>
      <c r="C23" s="10" t="n"/>
      <c r="D23" s="10" t="n"/>
      <c r="E23" s="10" t="n"/>
      <c r="F23" s="18" t="n"/>
      <c r="G23" s="18" t="n"/>
      <c r="H23" s="12" t="n"/>
      <c r="I23" s="2">
        <f>IF(OR(A23&lt;&gt; '控制台'!B4,B23&lt;&gt; '控制台'!B5,F23=""),"",DATE(VALUE(LEFT('控制台'!B5,4)),VALUE(RIGHT('控制台'!B5,2))+1,1)-1-F23)</f>
        <v/>
      </c>
      <c r="J23" s="2">
        <f>IF(OR(A23&lt;&gt; '控制台'!B4,B23&lt;&gt; '控制台'!B5,G23=""),"",MAX(0,DATE(VALUE(LEFT('控制台'!B5,4)),VALUE(RIGHT('控制台'!B5,2))+1,1)-1-G23))</f>
        <v/>
      </c>
      <c r="K23" s="2">
        <f>IF(A23="","",IF(AND(AND('控制台'!B4&lt;&gt;"",'控制台'!B5&lt;&gt;"",'控制台'!B4='刷新信息'!B6,'控制台'!B5='刷新信息'!B8),A23='控制台'!B4,B23='控制台'!B5,OR(C23="应收",C23="应付"),COUNTIFS('往来余额'!A5:A6000,C23,'往来余额'!B5:B6000,D23)=1,E23&lt;&gt;"",COUNTIFS(A$5:A$504,A23,B$5:B$504,B23,C$5:C$504,C23,D$5:D$504,D23,E$5:E$504,E23)=1,ISNUMBER(F23),I23&gt;=0,ISNUMBER(H23),H23&gt;=0),"纳入","待核实"))</f>
        <v/>
      </c>
      <c r="L23" s="2" t="n"/>
      <c r="M23" s="2" t="n"/>
      <c r="N23" s="2" t="n"/>
    </row>
    <row r="24" ht="23" customHeight="1">
      <c r="A24" s="10" t="n"/>
      <c r="B24" s="10" t="n"/>
      <c r="C24" s="10" t="n"/>
      <c r="D24" s="10" t="n"/>
      <c r="E24" s="10" t="n"/>
      <c r="F24" s="18" t="n"/>
      <c r="G24" s="18" t="n"/>
      <c r="H24" s="12" t="n"/>
      <c r="I24" s="2">
        <f>IF(OR(A24&lt;&gt; '控制台'!B4,B24&lt;&gt; '控制台'!B5,F24=""),"",DATE(VALUE(LEFT('控制台'!B5,4)),VALUE(RIGHT('控制台'!B5,2))+1,1)-1-F24)</f>
        <v/>
      </c>
      <c r="J24" s="2">
        <f>IF(OR(A24&lt;&gt; '控制台'!B4,B24&lt;&gt; '控制台'!B5,G24=""),"",MAX(0,DATE(VALUE(LEFT('控制台'!B5,4)),VALUE(RIGHT('控制台'!B5,2))+1,1)-1-G24))</f>
        <v/>
      </c>
      <c r="K24" s="2">
        <f>IF(A24="","",IF(AND(AND('控制台'!B4&lt;&gt;"",'控制台'!B5&lt;&gt;"",'控制台'!B4='刷新信息'!B6,'控制台'!B5='刷新信息'!B8),A24='控制台'!B4,B24='控制台'!B5,OR(C24="应收",C24="应付"),COUNTIFS('往来余额'!A5:A6000,C24,'往来余额'!B5:B6000,D24)=1,E24&lt;&gt;"",COUNTIFS(A$5:A$504,A24,B$5:B$504,B24,C$5:C$504,C24,D$5:D$504,D24,E$5:E$504,E24)=1,ISNUMBER(F24),I24&gt;=0,ISNUMBER(H24),H24&gt;=0),"纳入","待核实"))</f>
        <v/>
      </c>
      <c r="L24" s="2" t="n"/>
      <c r="M24" s="2" t="n"/>
      <c r="N24" s="2" t="n"/>
    </row>
    <row r="25" ht="23" customHeight="1">
      <c r="A25" s="10" t="n"/>
      <c r="B25" s="10" t="n"/>
      <c r="C25" s="10" t="n"/>
      <c r="D25" s="10" t="n"/>
      <c r="E25" s="10" t="n"/>
      <c r="F25" s="18" t="n"/>
      <c r="G25" s="18" t="n"/>
      <c r="H25" s="12" t="n"/>
      <c r="I25" s="2">
        <f>IF(OR(A25&lt;&gt; '控制台'!B4,B25&lt;&gt; '控制台'!B5,F25=""),"",DATE(VALUE(LEFT('控制台'!B5,4)),VALUE(RIGHT('控制台'!B5,2))+1,1)-1-F25)</f>
        <v/>
      </c>
      <c r="J25" s="2">
        <f>IF(OR(A25&lt;&gt; '控制台'!B4,B25&lt;&gt; '控制台'!B5,G25=""),"",MAX(0,DATE(VALUE(LEFT('控制台'!B5,4)),VALUE(RIGHT('控制台'!B5,2))+1,1)-1-G25))</f>
        <v/>
      </c>
      <c r="K25" s="2">
        <f>IF(A25="","",IF(AND(AND('控制台'!B4&lt;&gt;"",'控制台'!B5&lt;&gt;"",'控制台'!B4='刷新信息'!B6,'控制台'!B5='刷新信息'!B8),A25='控制台'!B4,B25='控制台'!B5,OR(C25="应收",C25="应付"),COUNTIFS('往来余额'!A5:A6000,C25,'往来余额'!B5:B6000,D25)=1,E25&lt;&gt;"",COUNTIFS(A$5:A$504,A25,B$5:B$504,B25,C$5:C$504,C25,D$5:D$504,D25,E$5:E$504,E25)=1,ISNUMBER(F25),I25&gt;=0,ISNUMBER(H25),H25&gt;=0),"纳入","待核实"))</f>
        <v/>
      </c>
      <c r="L25" s="2" t="n"/>
      <c r="M25" s="2" t="n"/>
      <c r="N25" s="2" t="n"/>
    </row>
    <row r="26" ht="23" customHeight="1">
      <c r="A26" s="10" t="n"/>
      <c r="B26" s="10" t="n"/>
      <c r="C26" s="10" t="n"/>
      <c r="D26" s="10" t="n"/>
      <c r="E26" s="10" t="n"/>
      <c r="F26" s="18" t="n"/>
      <c r="G26" s="18" t="n"/>
      <c r="H26" s="12" t="n"/>
      <c r="I26" s="2">
        <f>IF(OR(A26&lt;&gt; '控制台'!B4,B26&lt;&gt; '控制台'!B5,F26=""),"",DATE(VALUE(LEFT('控制台'!B5,4)),VALUE(RIGHT('控制台'!B5,2))+1,1)-1-F26)</f>
        <v/>
      </c>
      <c r="J26" s="2">
        <f>IF(OR(A26&lt;&gt; '控制台'!B4,B26&lt;&gt; '控制台'!B5,G26=""),"",MAX(0,DATE(VALUE(LEFT('控制台'!B5,4)),VALUE(RIGHT('控制台'!B5,2))+1,1)-1-G26))</f>
        <v/>
      </c>
      <c r="K26" s="2">
        <f>IF(A26="","",IF(AND(AND('控制台'!B4&lt;&gt;"",'控制台'!B5&lt;&gt;"",'控制台'!B4='刷新信息'!B6,'控制台'!B5='刷新信息'!B8),A26='控制台'!B4,B26='控制台'!B5,OR(C26="应收",C26="应付"),COUNTIFS('往来余额'!A5:A6000,C26,'往来余额'!B5:B6000,D26)=1,E26&lt;&gt;"",COUNTIFS(A$5:A$504,A26,B$5:B$504,B26,C$5:C$504,C26,D$5:D$504,D26,E$5:E$504,E26)=1,ISNUMBER(F26),I26&gt;=0,ISNUMBER(H26),H26&gt;=0),"纳入","待核实"))</f>
        <v/>
      </c>
      <c r="L26" s="2" t="n"/>
      <c r="M26" s="2" t="n"/>
      <c r="N26" s="2" t="n"/>
    </row>
    <row r="27" ht="23" customHeight="1">
      <c r="A27" s="10" t="n"/>
      <c r="B27" s="10" t="n"/>
      <c r="C27" s="10" t="n"/>
      <c r="D27" s="10" t="n"/>
      <c r="E27" s="10" t="n"/>
      <c r="F27" s="18" t="n"/>
      <c r="G27" s="18" t="n"/>
      <c r="H27" s="12" t="n"/>
      <c r="I27" s="2">
        <f>IF(OR(A27&lt;&gt; '控制台'!B4,B27&lt;&gt; '控制台'!B5,F27=""),"",DATE(VALUE(LEFT('控制台'!B5,4)),VALUE(RIGHT('控制台'!B5,2))+1,1)-1-F27)</f>
        <v/>
      </c>
      <c r="J27" s="2">
        <f>IF(OR(A27&lt;&gt; '控制台'!B4,B27&lt;&gt; '控制台'!B5,G27=""),"",MAX(0,DATE(VALUE(LEFT('控制台'!B5,4)),VALUE(RIGHT('控制台'!B5,2))+1,1)-1-G27))</f>
        <v/>
      </c>
      <c r="K27" s="2">
        <f>IF(A27="","",IF(AND(AND('控制台'!B4&lt;&gt;"",'控制台'!B5&lt;&gt;"",'控制台'!B4='刷新信息'!B6,'控制台'!B5='刷新信息'!B8),A27='控制台'!B4,B27='控制台'!B5,OR(C27="应收",C27="应付"),COUNTIFS('往来余额'!A5:A6000,C27,'往来余额'!B5:B6000,D27)=1,E27&lt;&gt;"",COUNTIFS(A$5:A$504,A27,B$5:B$504,B27,C$5:C$504,C27,D$5:D$504,D27,E$5:E$504,E27)=1,ISNUMBER(F27),I27&gt;=0,ISNUMBER(H27),H27&gt;=0),"纳入","待核实"))</f>
        <v/>
      </c>
      <c r="L27" s="2" t="n"/>
      <c r="M27" s="2" t="n"/>
      <c r="N27" s="2" t="n"/>
    </row>
    <row r="28" ht="23" customHeight="1">
      <c r="A28" s="10" t="n"/>
      <c r="B28" s="10" t="n"/>
      <c r="C28" s="10" t="n"/>
      <c r="D28" s="10" t="n"/>
      <c r="E28" s="10" t="n"/>
      <c r="F28" s="18" t="n"/>
      <c r="G28" s="18" t="n"/>
      <c r="H28" s="12" t="n"/>
      <c r="I28" s="2">
        <f>IF(OR(A28&lt;&gt; '控制台'!B4,B28&lt;&gt; '控制台'!B5,F28=""),"",DATE(VALUE(LEFT('控制台'!B5,4)),VALUE(RIGHT('控制台'!B5,2))+1,1)-1-F28)</f>
        <v/>
      </c>
      <c r="J28" s="2">
        <f>IF(OR(A28&lt;&gt; '控制台'!B4,B28&lt;&gt; '控制台'!B5,G28=""),"",MAX(0,DATE(VALUE(LEFT('控制台'!B5,4)),VALUE(RIGHT('控制台'!B5,2))+1,1)-1-G28))</f>
        <v/>
      </c>
      <c r="K28" s="2">
        <f>IF(A28="","",IF(AND(AND('控制台'!B4&lt;&gt;"",'控制台'!B5&lt;&gt;"",'控制台'!B4='刷新信息'!B6,'控制台'!B5='刷新信息'!B8),A28='控制台'!B4,B28='控制台'!B5,OR(C28="应收",C28="应付"),COUNTIFS('往来余额'!A5:A6000,C28,'往来余额'!B5:B6000,D28)=1,E28&lt;&gt;"",COUNTIFS(A$5:A$504,A28,B$5:B$504,B28,C$5:C$504,C28,D$5:D$504,D28,E$5:E$504,E28)=1,ISNUMBER(F28),I28&gt;=0,ISNUMBER(H28),H28&gt;=0),"纳入","待核实"))</f>
        <v/>
      </c>
      <c r="L28" s="2" t="n"/>
      <c r="M28" s="2" t="n"/>
      <c r="N28" s="2" t="n"/>
    </row>
    <row r="29" ht="23" customHeight="1">
      <c r="A29" s="10" t="n"/>
      <c r="B29" s="10" t="n"/>
      <c r="C29" s="10" t="n"/>
      <c r="D29" s="10" t="n"/>
      <c r="E29" s="10" t="n"/>
      <c r="F29" s="18" t="n"/>
      <c r="G29" s="18" t="n"/>
      <c r="H29" s="12" t="n"/>
      <c r="I29" s="2">
        <f>IF(OR(A29&lt;&gt; '控制台'!B4,B29&lt;&gt; '控制台'!B5,F29=""),"",DATE(VALUE(LEFT('控制台'!B5,4)),VALUE(RIGHT('控制台'!B5,2))+1,1)-1-F29)</f>
        <v/>
      </c>
      <c r="J29" s="2">
        <f>IF(OR(A29&lt;&gt; '控制台'!B4,B29&lt;&gt; '控制台'!B5,G29=""),"",MAX(0,DATE(VALUE(LEFT('控制台'!B5,4)),VALUE(RIGHT('控制台'!B5,2))+1,1)-1-G29))</f>
        <v/>
      </c>
      <c r="K29" s="2">
        <f>IF(A29="","",IF(AND(AND('控制台'!B4&lt;&gt;"",'控制台'!B5&lt;&gt;"",'控制台'!B4='刷新信息'!B6,'控制台'!B5='刷新信息'!B8),A29='控制台'!B4,B29='控制台'!B5,OR(C29="应收",C29="应付"),COUNTIFS('往来余额'!A5:A6000,C29,'往来余额'!B5:B6000,D29)=1,E29&lt;&gt;"",COUNTIFS(A$5:A$504,A29,B$5:B$504,B29,C$5:C$504,C29,D$5:D$504,D29,E$5:E$504,E29)=1,ISNUMBER(F29),I29&gt;=0,ISNUMBER(H29),H29&gt;=0),"纳入","待核实"))</f>
        <v/>
      </c>
      <c r="L29" s="2" t="n"/>
      <c r="M29" s="2" t="n"/>
      <c r="N29" s="2" t="n"/>
    </row>
    <row r="30" ht="23" customHeight="1">
      <c r="A30" s="10" t="n"/>
      <c r="B30" s="10" t="n"/>
      <c r="C30" s="10" t="n"/>
      <c r="D30" s="10" t="n"/>
      <c r="E30" s="10" t="n"/>
      <c r="F30" s="18" t="n"/>
      <c r="G30" s="18" t="n"/>
      <c r="H30" s="12" t="n"/>
      <c r="I30" s="2">
        <f>IF(OR(A30&lt;&gt; '控制台'!B4,B30&lt;&gt; '控制台'!B5,F30=""),"",DATE(VALUE(LEFT('控制台'!B5,4)),VALUE(RIGHT('控制台'!B5,2))+1,1)-1-F30)</f>
        <v/>
      </c>
      <c r="J30" s="2">
        <f>IF(OR(A30&lt;&gt; '控制台'!B4,B30&lt;&gt; '控制台'!B5,G30=""),"",MAX(0,DATE(VALUE(LEFT('控制台'!B5,4)),VALUE(RIGHT('控制台'!B5,2))+1,1)-1-G30))</f>
        <v/>
      </c>
      <c r="K30" s="2">
        <f>IF(A30="","",IF(AND(AND('控制台'!B4&lt;&gt;"",'控制台'!B5&lt;&gt;"",'控制台'!B4='刷新信息'!B6,'控制台'!B5='刷新信息'!B8),A30='控制台'!B4,B30='控制台'!B5,OR(C30="应收",C30="应付"),COUNTIFS('往来余额'!A5:A6000,C30,'往来余额'!B5:B6000,D30)=1,E30&lt;&gt;"",COUNTIFS(A$5:A$504,A30,B$5:B$504,B30,C$5:C$504,C30,D$5:D$504,D30,E$5:E$504,E30)=1,ISNUMBER(F30),I30&gt;=0,ISNUMBER(H30),H30&gt;=0),"纳入","待核实"))</f>
        <v/>
      </c>
      <c r="L30" s="2" t="n"/>
      <c r="M30" s="2" t="n"/>
      <c r="N30" s="2" t="n"/>
    </row>
    <row r="31" ht="23" customHeight="1">
      <c r="A31" s="10" t="n"/>
      <c r="B31" s="10" t="n"/>
      <c r="C31" s="10" t="n"/>
      <c r="D31" s="10" t="n"/>
      <c r="E31" s="10" t="n"/>
      <c r="F31" s="18" t="n"/>
      <c r="G31" s="18" t="n"/>
      <c r="H31" s="12" t="n"/>
      <c r="I31" s="2">
        <f>IF(OR(A31&lt;&gt; '控制台'!B4,B31&lt;&gt; '控制台'!B5,F31=""),"",DATE(VALUE(LEFT('控制台'!B5,4)),VALUE(RIGHT('控制台'!B5,2))+1,1)-1-F31)</f>
        <v/>
      </c>
      <c r="J31" s="2">
        <f>IF(OR(A31&lt;&gt; '控制台'!B4,B31&lt;&gt; '控制台'!B5,G31=""),"",MAX(0,DATE(VALUE(LEFT('控制台'!B5,4)),VALUE(RIGHT('控制台'!B5,2))+1,1)-1-G31))</f>
        <v/>
      </c>
      <c r="K31" s="2">
        <f>IF(A31="","",IF(AND(AND('控制台'!B4&lt;&gt;"",'控制台'!B5&lt;&gt;"",'控制台'!B4='刷新信息'!B6,'控制台'!B5='刷新信息'!B8),A31='控制台'!B4,B31='控制台'!B5,OR(C31="应收",C31="应付"),COUNTIFS('往来余额'!A5:A6000,C31,'往来余额'!B5:B6000,D31)=1,E31&lt;&gt;"",COUNTIFS(A$5:A$504,A31,B$5:B$504,B31,C$5:C$504,C31,D$5:D$504,D31,E$5:E$504,E31)=1,ISNUMBER(F31),I31&gt;=0,ISNUMBER(H31),H31&gt;=0),"纳入","待核实"))</f>
        <v/>
      </c>
      <c r="L31" s="2" t="n"/>
      <c r="M31" s="2" t="n"/>
      <c r="N31" s="2" t="n"/>
    </row>
    <row r="32" ht="23" customHeight="1">
      <c r="A32" s="10" t="n"/>
      <c r="B32" s="10" t="n"/>
      <c r="C32" s="10" t="n"/>
      <c r="D32" s="10" t="n"/>
      <c r="E32" s="10" t="n"/>
      <c r="F32" s="18" t="n"/>
      <c r="G32" s="18" t="n"/>
      <c r="H32" s="12" t="n"/>
      <c r="I32" s="2">
        <f>IF(OR(A32&lt;&gt; '控制台'!B4,B32&lt;&gt; '控制台'!B5,F32=""),"",DATE(VALUE(LEFT('控制台'!B5,4)),VALUE(RIGHT('控制台'!B5,2))+1,1)-1-F32)</f>
        <v/>
      </c>
      <c r="J32" s="2">
        <f>IF(OR(A32&lt;&gt; '控制台'!B4,B32&lt;&gt; '控制台'!B5,G32=""),"",MAX(0,DATE(VALUE(LEFT('控制台'!B5,4)),VALUE(RIGHT('控制台'!B5,2))+1,1)-1-G32))</f>
        <v/>
      </c>
      <c r="K32" s="2">
        <f>IF(A32="","",IF(AND(AND('控制台'!B4&lt;&gt;"",'控制台'!B5&lt;&gt;"",'控制台'!B4='刷新信息'!B6,'控制台'!B5='刷新信息'!B8),A32='控制台'!B4,B32='控制台'!B5,OR(C32="应收",C32="应付"),COUNTIFS('往来余额'!A5:A6000,C32,'往来余额'!B5:B6000,D32)=1,E32&lt;&gt;"",COUNTIFS(A$5:A$504,A32,B$5:B$504,B32,C$5:C$504,C32,D$5:D$504,D32,E$5:E$504,E32)=1,ISNUMBER(F32),I32&gt;=0,ISNUMBER(H32),H32&gt;=0),"纳入","待核实"))</f>
        <v/>
      </c>
      <c r="L32" s="2" t="n"/>
      <c r="M32" s="2" t="n"/>
      <c r="N32" s="2" t="n"/>
    </row>
    <row r="33" ht="23" customHeight="1">
      <c r="A33" s="10" t="n"/>
      <c r="B33" s="10" t="n"/>
      <c r="C33" s="10" t="n"/>
      <c r="D33" s="10" t="n"/>
      <c r="E33" s="10" t="n"/>
      <c r="F33" s="18" t="n"/>
      <c r="G33" s="18" t="n"/>
      <c r="H33" s="12" t="n"/>
      <c r="I33" s="2">
        <f>IF(OR(A33&lt;&gt; '控制台'!B4,B33&lt;&gt; '控制台'!B5,F33=""),"",DATE(VALUE(LEFT('控制台'!B5,4)),VALUE(RIGHT('控制台'!B5,2))+1,1)-1-F33)</f>
        <v/>
      </c>
      <c r="J33" s="2">
        <f>IF(OR(A33&lt;&gt; '控制台'!B4,B33&lt;&gt; '控制台'!B5,G33=""),"",MAX(0,DATE(VALUE(LEFT('控制台'!B5,4)),VALUE(RIGHT('控制台'!B5,2))+1,1)-1-G33))</f>
        <v/>
      </c>
      <c r="K33" s="2">
        <f>IF(A33="","",IF(AND(AND('控制台'!B4&lt;&gt;"",'控制台'!B5&lt;&gt;"",'控制台'!B4='刷新信息'!B6,'控制台'!B5='刷新信息'!B8),A33='控制台'!B4,B33='控制台'!B5,OR(C33="应收",C33="应付"),COUNTIFS('往来余额'!A5:A6000,C33,'往来余额'!B5:B6000,D33)=1,E33&lt;&gt;"",COUNTIFS(A$5:A$504,A33,B$5:B$504,B33,C$5:C$504,C33,D$5:D$504,D33,E$5:E$504,E33)=1,ISNUMBER(F33),I33&gt;=0,ISNUMBER(H33),H33&gt;=0),"纳入","待核实"))</f>
        <v/>
      </c>
      <c r="L33" s="2" t="n"/>
      <c r="M33" s="2" t="n"/>
      <c r="N33" s="2" t="n"/>
    </row>
    <row r="34" ht="23" customHeight="1">
      <c r="A34" s="10" t="n"/>
      <c r="B34" s="10" t="n"/>
      <c r="C34" s="10" t="n"/>
      <c r="D34" s="10" t="n"/>
      <c r="E34" s="10" t="n"/>
      <c r="F34" s="18" t="n"/>
      <c r="G34" s="18" t="n"/>
      <c r="H34" s="12" t="n"/>
      <c r="I34" s="2">
        <f>IF(OR(A34&lt;&gt; '控制台'!B4,B34&lt;&gt; '控制台'!B5,F34=""),"",DATE(VALUE(LEFT('控制台'!B5,4)),VALUE(RIGHT('控制台'!B5,2))+1,1)-1-F34)</f>
        <v/>
      </c>
      <c r="J34" s="2">
        <f>IF(OR(A34&lt;&gt; '控制台'!B4,B34&lt;&gt; '控制台'!B5,G34=""),"",MAX(0,DATE(VALUE(LEFT('控制台'!B5,4)),VALUE(RIGHT('控制台'!B5,2))+1,1)-1-G34))</f>
        <v/>
      </c>
      <c r="K34" s="2">
        <f>IF(A34="","",IF(AND(AND('控制台'!B4&lt;&gt;"",'控制台'!B5&lt;&gt;"",'控制台'!B4='刷新信息'!B6,'控制台'!B5='刷新信息'!B8),A34='控制台'!B4,B34='控制台'!B5,OR(C34="应收",C34="应付"),COUNTIFS('往来余额'!A5:A6000,C34,'往来余额'!B5:B6000,D34)=1,E34&lt;&gt;"",COUNTIFS(A$5:A$504,A34,B$5:B$504,B34,C$5:C$504,C34,D$5:D$504,D34,E$5:E$504,E34)=1,ISNUMBER(F34),I34&gt;=0,ISNUMBER(H34),H34&gt;=0),"纳入","待核实"))</f>
        <v/>
      </c>
      <c r="L34" s="2" t="n"/>
      <c r="M34" s="2" t="n"/>
      <c r="N34" s="2" t="n"/>
    </row>
    <row r="35" ht="23" customHeight="1">
      <c r="A35" s="10" t="n"/>
      <c r="B35" s="10" t="n"/>
      <c r="C35" s="10" t="n"/>
      <c r="D35" s="10" t="n"/>
      <c r="E35" s="10" t="n"/>
      <c r="F35" s="18" t="n"/>
      <c r="G35" s="18" t="n"/>
      <c r="H35" s="12" t="n"/>
      <c r="I35" s="2">
        <f>IF(OR(A35&lt;&gt; '控制台'!B4,B35&lt;&gt; '控制台'!B5,F35=""),"",DATE(VALUE(LEFT('控制台'!B5,4)),VALUE(RIGHT('控制台'!B5,2))+1,1)-1-F35)</f>
        <v/>
      </c>
      <c r="J35" s="2">
        <f>IF(OR(A35&lt;&gt; '控制台'!B4,B35&lt;&gt; '控制台'!B5,G35=""),"",MAX(0,DATE(VALUE(LEFT('控制台'!B5,4)),VALUE(RIGHT('控制台'!B5,2))+1,1)-1-G35))</f>
        <v/>
      </c>
      <c r="K35" s="2">
        <f>IF(A35="","",IF(AND(AND('控制台'!B4&lt;&gt;"",'控制台'!B5&lt;&gt;"",'控制台'!B4='刷新信息'!B6,'控制台'!B5='刷新信息'!B8),A35='控制台'!B4,B35='控制台'!B5,OR(C35="应收",C35="应付"),COUNTIFS('往来余额'!A5:A6000,C35,'往来余额'!B5:B6000,D35)=1,E35&lt;&gt;"",COUNTIFS(A$5:A$504,A35,B$5:B$504,B35,C$5:C$504,C35,D$5:D$504,D35,E$5:E$504,E35)=1,ISNUMBER(F35),I35&gt;=0,ISNUMBER(H35),H35&gt;=0),"纳入","待核实"))</f>
        <v/>
      </c>
      <c r="L35" s="2" t="n"/>
      <c r="M35" s="2" t="n"/>
      <c r="N35" s="2" t="n"/>
    </row>
    <row r="36" ht="23" customHeight="1">
      <c r="A36" s="10" t="n"/>
      <c r="B36" s="10" t="n"/>
      <c r="C36" s="10" t="n"/>
      <c r="D36" s="10" t="n"/>
      <c r="E36" s="10" t="n"/>
      <c r="F36" s="18" t="n"/>
      <c r="G36" s="18" t="n"/>
      <c r="H36" s="12" t="n"/>
      <c r="I36" s="2">
        <f>IF(OR(A36&lt;&gt; '控制台'!B4,B36&lt;&gt; '控制台'!B5,F36=""),"",DATE(VALUE(LEFT('控制台'!B5,4)),VALUE(RIGHT('控制台'!B5,2))+1,1)-1-F36)</f>
        <v/>
      </c>
      <c r="J36" s="2">
        <f>IF(OR(A36&lt;&gt; '控制台'!B4,B36&lt;&gt; '控制台'!B5,G36=""),"",MAX(0,DATE(VALUE(LEFT('控制台'!B5,4)),VALUE(RIGHT('控制台'!B5,2))+1,1)-1-G36))</f>
        <v/>
      </c>
      <c r="K36" s="2">
        <f>IF(A36="","",IF(AND(AND('控制台'!B4&lt;&gt;"",'控制台'!B5&lt;&gt;"",'控制台'!B4='刷新信息'!B6,'控制台'!B5='刷新信息'!B8),A36='控制台'!B4,B36='控制台'!B5,OR(C36="应收",C36="应付"),COUNTIFS('往来余额'!A5:A6000,C36,'往来余额'!B5:B6000,D36)=1,E36&lt;&gt;"",COUNTIFS(A$5:A$504,A36,B$5:B$504,B36,C$5:C$504,C36,D$5:D$504,D36,E$5:E$504,E36)=1,ISNUMBER(F36),I36&gt;=0,ISNUMBER(H36),H36&gt;=0),"纳入","待核实"))</f>
        <v/>
      </c>
      <c r="L36" s="2" t="n"/>
      <c r="M36" s="2" t="n"/>
      <c r="N36" s="2" t="n"/>
    </row>
    <row r="37" ht="23" customHeight="1">
      <c r="A37" s="10" t="n"/>
      <c r="B37" s="10" t="n"/>
      <c r="C37" s="10" t="n"/>
      <c r="D37" s="10" t="n"/>
      <c r="E37" s="10" t="n"/>
      <c r="F37" s="18" t="n"/>
      <c r="G37" s="18" t="n"/>
      <c r="H37" s="12" t="n"/>
      <c r="I37" s="2">
        <f>IF(OR(A37&lt;&gt; '控制台'!B4,B37&lt;&gt; '控制台'!B5,F37=""),"",DATE(VALUE(LEFT('控制台'!B5,4)),VALUE(RIGHT('控制台'!B5,2))+1,1)-1-F37)</f>
        <v/>
      </c>
      <c r="J37" s="2">
        <f>IF(OR(A37&lt;&gt; '控制台'!B4,B37&lt;&gt; '控制台'!B5,G37=""),"",MAX(0,DATE(VALUE(LEFT('控制台'!B5,4)),VALUE(RIGHT('控制台'!B5,2))+1,1)-1-G37))</f>
        <v/>
      </c>
      <c r="K37" s="2">
        <f>IF(A37="","",IF(AND(AND('控制台'!B4&lt;&gt;"",'控制台'!B5&lt;&gt;"",'控制台'!B4='刷新信息'!B6,'控制台'!B5='刷新信息'!B8),A37='控制台'!B4,B37='控制台'!B5,OR(C37="应收",C37="应付"),COUNTIFS('往来余额'!A5:A6000,C37,'往来余额'!B5:B6000,D37)=1,E37&lt;&gt;"",COUNTIFS(A$5:A$504,A37,B$5:B$504,B37,C$5:C$504,C37,D$5:D$504,D37,E$5:E$504,E37)=1,ISNUMBER(F37),I37&gt;=0,ISNUMBER(H37),H37&gt;=0),"纳入","待核实"))</f>
        <v/>
      </c>
      <c r="L37" s="2" t="n"/>
      <c r="M37" s="2" t="n"/>
      <c r="N37" s="2" t="n"/>
    </row>
    <row r="38" ht="23" customHeight="1">
      <c r="A38" s="10" t="n"/>
      <c r="B38" s="10" t="n"/>
      <c r="C38" s="10" t="n"/>
      <c r="D38" s="10" t="n"/>
      <c r="E38" s="10" t="n"/>
      <c r="F38" s="18" t="n"/>
      <c r="G38" s="18" t="n"/>
      <c r="H38" s="12" t="n"/>
      <c r="I38" s="2">
        <f>IF(OR(A38&lt;&gt; '控制台'!B4,B38&lt;&gt; '控制台'!B5,F38=""),"",DATE(VALUE(LEFT('控制台'!B5,4)),VALUE(RIGHT('控制台'!B5,2))+1,1)-1-F38)</f>
        <v/>
      </c>
      <c r="J38" s="2">
        <f>IF(OR(A38&lt;&gt; '控制台'!B4,B38&lt;&gt; '控制台'!B5,G38=""),"",MAX(0,DATE(VALUE(LEFT('控制台'!B5,4)),VALUE(RIGHT('控制台'!B5,2))+1,1)-1-G38))</f>
        <v/>
      </c>
      <c r="K38" s="2">
        <f>IF(A38="","",IF(AND(AND('控制台'!B4&lt;&gt;"",'控制台'!B5&lt;&gt;"",'控制台'!B4='刷新信息'!B6,'控制台'!B5='刷新信息'!B8),A38='控制台'!B4,B38='控制台'!B5,OR(C38="应收",C38="应付"),COUNTIFS('往来余额'!A5:A6000,C38,'往来余额'!B5:B6000,D38)=1,E38&lt;&gt;"",COUNTIFS(A$5:A$504,A38,B$5:B$504,B38,C$5:C$504,C38,D$5:D$504,D38,E$5:E$504,E38)=1,ISNUMBER(F38),I38&gt;=0,ISNUMBER(H38),H38&gt;=0),"纳入","待核实"))</f>
        <v/>
      </c>
      <c r="L38" s="2" t="n"/>
      <c r="M38" s="2" t="n"/>
      <c r="N38" s="2" t="n"/>
    </row>
    <row r="39" ht="23" customHeight="1">
      <c r="A39" s="10" t="n"/>
      <c r="B39" s="10" t="n"/>
      <c r="C39" s="10" t="n"/>
      <c r="D39" s="10" t="n"/>
      <c r="E39" s="10" t="n"/>
      <c r="F39" s="18" t="n"/>
      <c r="G39" s="18" t="n"/>
      <c r="H39" s="12" t="n"/>
      <c r="I39" s="2">
        <f>IF(OR(A39&lt;&gt; '控制台'!B4,B39&lt;&gt; '控制台'!B5,F39=""),"",DATE(VALUE(LEFT('控制台'!B5,4)),VALUE(RIGHT('控制台'!B5,2))+1,1)-1-F39)</f>
        <v/>
      </c>
      <c r="J39" s="2">
        <f>IF(OR(A39&lt;&gt; '控制台'!B4,B39&lt;&gt; '控制台'!B5,G39=""),"",MAX(0,DATE(VALUE(LEFT('控制台'!B5,4)),VALUE(RIGHT('控制台'!B5,2))+1,1)-1-G39))</f>
        <v/>
      </c>
      <c r="K39" s="2">
        <f>IF(A39="","",IF(AND(AND('控制台'!B4&lt;&gt;"",'控制台'!B5&lt;&gt;"",'控制台'!B4='刷新信息'!B6,'控制台'!B5='刷新信息'!B8),A39='控制台'!B4,B39='控制台'!B5,OR(C39="应收",C39="应付"),COUNTIFS('往来余额'!A5:A6000,C39,'往来余额'!B5:B6000,D39)=1,E39&lt;&gt;"",COUNTIFS(A$5:A$504,A39,B$5:B$504,B39,C$5:C$504,C39,D$5:D$504,D39,E$5:E$504,E39)=1,ISNUMBER(F39),I39&gt;=0,ISNUMBER(H39),H39&gt;=0),"纳入","待核实"))</f>
        <v/>
      </c>
      <c r="L39" s="2" t="n"/>
      <c r="M39" s="2" t="n"/>
      <c r="N39" s="2" t="n"/>
    </row>
    <row r="40" ht="23" customHeight="1">
      <c r="A40" s="10" t="n"/>
      <c r="B40" s="10" t="n"/>
      <c r="C40" s="10" t="n"/>
      <c r="D40" s="10" t="n"/>
      <c r="E40" s="10" t="n"/>
      <c r="F40" s="18" t="n"/>
      <c r="G40" s="18" t="n"/>
      <c r="H40" s="12" t="n"/>
      <c r="I40" s="2">
        <f>IF(OR(A40&lt;&gt; '控制台'!B4,B40&lt;&gt; '控制台'!B5,F40=""),"",DATE(VALUE(LEFT('控制台'!B5,4)),VALUE(RIGHT('控制台'!B5,2))+1,1)-1-F40)</f>
        <v/>
      </c>
      <c r="J40" s="2">
        <f>IF(OR(A40&lt;&gt; '控制台'!B4,B40&lt;&gt; '控制台'!B5,G40=""),"",MAX(0,DATE(VALUE(LEFT('控制台'!B5,4)),VALUE(RIGHT('控制台'!B5,2))+1,1)-1-G40))</f>
        <v/>
      </c>
      <c r="K40" s="2">
        <f>IF(A40="","",IF(AND(AND('控制台'!B4&lt;&gt;"",'控制台'!B5&lt;&gt;"",'控制台'!B4='刷新信息'!B6,'控制台'!B5='刷新信息'!B8),A40='控制台'!B4,B40='控制台'!B5,OR(C40="应收",C40="应付"),COUNTIFS('往来余额'!A5:A6000,C40,'往来余额'!B5:B6000,D40)=1,E40&lt;&gt;"",COUNTIFS(A$5:A$504,A40,B$5:B$504,B40,C$5:C$504,C40,D$5:D$504,D40,E$5:E$504,E40)=1,ISNUMBER(F40),I40&gt;=0,ISNUMBER(H40),H40&gt;=0),"纳入","待核实"))</f>
        <v/>
      </c>
      <c r="L40" s="2" t="n"/>
      <c r="M40" s="2" t="n"/>
      <c r="N40" s="2" t="n"/>
    </row>
    <row r="41">
      <c r="A41" s="13" t="n"/>
      <c r="B41" s="13" t="n"/>
      <c r="C41" s="13" t="n"/>
      <c r="D41" s="13" t="n"/>
      <c r="E41" s="13" t="n"/>
      <c r="F41" s="19" t="n"/>
      <c r="G41" s="19" t="n"/>
      <c r="H41" s="15" t="n"/>
      <c r="I41">
        <f>IF(OR(A41&lt;&gt; '控制台'!B4,B41&lt;&gt; '控制台'!B5,F41=""),"",DATE(VALUE(LEFT('控制台'!B5,4)),VALUE(RIGHT('控制台'!B5,2))+1,1)-1-F41)</f>
        <v/>
      </c>
      <c r="J41">
        <f>IF(OR(A41&lt;&gt; '控制台'!B4,B41&lt;&gt; '控制台'!B5,G41=""),"",MAX(0,DATE(VALUE(LEFT('控制台'!B5,4)),VALUE(RIGHT('控制台'!B5,2))+1,1)-1-G41))</f>
        <v/>
      </c>
      <c r="K41">
        <f>IF(A41="","",IF(AND(AND('控制台'!B4&lt;&gt;"",'控制台'!B5&lt;&gt;"",'控制台'!B4='刷新信息'!B6,'控制台'!B5='刷新信息'!B8),A41='控制台'!B4,B41='控制台'!B5,OR(C41="应收",C41="应付"),COUNTIFS('往来余额'!A5:A6000,C41,'往来余额'!B5:B6000,D41)=1,E41&lt;&gt;"",COUNTIFS(A$5:A$504,A41,B$5:B$504,B41,C$5:C$504,C41,D$5:D$504,D41,E$5:E$504,E41)=1,ISNUMBER(F41),I41&gt;=0,ISNUMBER(H41),H41&gt;=0),"纳入","待核实"))</f>
        <v/>
      </c>
    </row>
    <row r="42">
      <c r="A42" s="13" t="n"/>
      <c r="B42" s="13" t="n"/>
      <c r="C42" s="13" t="n"/>
      <c r="D42" s="13" t="n"/>
      <c r="E42" s="13" t="n"/>
      <c r="F42" s="19" t="n"/>
      <c r="G42" s="19" t="n"/>
      <c r="H42" s="15" t="n"/>
      <c r="I42">
        <f>IF(OR(A42&lt;&gt; '控制台'!B4,B42&lt;&gt; '控制台'!B5,F42=""),"",DATE(VALUE(LEFT('控制台'!B5,4)),VALUE(RIGHT('控制台'!B5,2))+1,1)-1-F42)</f>
        <v/>
      </c>
      <c r="J42">
        <f>IF(OR(A42&lt;&gt; '控制台'!B4,B42&lt;&gt; '控制台'!B5,G42=""),"",MAX(0,DATE(VALUE(LEFT('控制台'!B5,4)),VALUE(RIGHT('控制台'!B5,2))+1,1)-1-G42))</f>
        <v/>
      </c>
      <c r="K42">
        <f>IF(A42="","",IF(AND(AND('控制台'!B4&lt;&gt;"",'控制台'!B5&lt;&gt;"",'控制台'!B4='刷新信息'!B6,'控制台'!B5='刷新信息'!B8),A42='控制台'!B4,B42='控制台'!B5,OR(C42="应收",C42="应付"),COUNTIFS('往来余额'!A5:A6000,C42,'往来余额'!B5:B6000,D42)=1,E42&lt;&gt;"",COUNTIFS(A$5:A$504,A42,B$5:B$504,B42,C$5:C$504,C42,D$5:D$504,D42,E$5:E$504,E42)=1,ISNUMBER(F42),I42&gt;=0,ISNUMBER(H42),H42&gt;=0),"纳入","待核实"))</f>
        <v/>
      </c>
    </row>
    <row r="43">
      <c r="A43" s="13" t="n"/>
      <c r="B43" s="13" t="n"/>
      <c r="C43" s="13" t="n"/>
      <c r="D43" s="13" t="n"/>
      <c r="E43" s="13" t="n"/>
      <c r="F43" s="19" t="n"/>
      <c r="G43" s="19" t="n"/>
      <c r="H43" s="15" t="n"/>
      <c r="I43">
        <f>IF(OR(A43&lt;&gt; '控制台'!B4,B43&lt;&gt; '控制台'!B5,F43=""),"",DATE(VALUE(LEFT('控制台'!B5,4)),VALUE(RIGHT('控制台'!B5,2))+1,1)-1-F43)</f>
        <v/>
      </c>
      <c r="J43">
        <f>IF(OR(A43&lt;&gt; '控制台'!B4,B43&lt;&gt; '控制台'!B5,G43=""),"",MAX(0,DATE(VALUE(LEFT('控制台'!B5,4)),VALUE(RIGHT('控制台'!B5,2))+1,1)-1-G43))</f>
        <v/>
      </c>
      <c r="K43">
        <f>IF(A43="","",IF(AND(AND('控制台'!B4&lt;&gt;"",'控制台'!B5&lt;&gt;"",'控制台'!B4='刷新信息'!B6,'控制台'!B5='刷新信息'!B8),A43='控制台'!B4,B43='控制台'!B5,OR(C43="应收",C43="应付"),COUNTIFS('往来余额'!A5:A6000,C43,'往来余额'!B5:B6000,D43)=1,E43&lt;&gt;"",COUNTIFS(A$5:A$504,A43,B$5:B$504,B43,C$5:C$504,C43,D$5:D$504,D43,E$5:E$504,E43)=1,ISNUMBER(F43),I43&gt;=0,ISNUMBER(H43),H43&gt;=0),"纳入","待核实"))</f>
        <v/>
      </c>
    </row>
    <row r="44">
      <c r="A44" s="13" t="n"/>
      <c r="B44" s="13" t="n"/>
      <c r="C44" s="13" t="n"/>
      <c r="D44" s="13" t="n"/>
      <c r="E44" s="13" t="n"/>
      <c r="F44" s="19" t="n"/>
      <c r="G44" s="19" t="n"/>
      <c r="H44" s="15" t="n"/>
      <c r="I44">
        <f>IF(OR(A44&lt;&gt; '控制台'!B4,B44&lt;&gt; '控制台'!B5,F44=""),"",DATE(VALUE(LEFT('控制台'!B5,4)),VALUE(RIGHT('控制台'!B5,2))+1,1)-1-F44)</f>
        <v/>
      </c>
      <c r="J44">
        <f>IF(OR(A44&lt;&gt; '控制台'!B4,B44&lt;&gt; '控制台'!B5,G44=""),"",MAX(0,DATE(VALUE(LEFT('控制台'!B5,4)),VALUE(RIGHT('控制台'!B5,2))+1,1)-1-G44))</f>
        <v/>
      </c>
      <c r="K44">
        <f>IF(A44="","",IF(AND(AND('控制台'!B4&lt;&gt;"",'控制台'!B5&lt;&gt;"",'控制台'!B4='刷新信息'!B6,'控制台'!B5='刷新信息'!B8),A44='控制台'!B4,B44='控制台'!B5,OR(C44="应收",C44="应付"),COUNTIFS('往来余额'!A5:A6000,C44,'往来余额'!B5:B6000,D44)=1,E44&lt;&gt;"",COUNTIFS(A$5:A$504,A44,B$5:B$504,B44,C$5:C$504,C44,D$5:D$504,D44,E$5:E$504,E44)=1,ISNUMBER(F44),I44&gt;=0,ISNUMBER(H44),H44&gt;=0),"纳入","待核实"))</f>
        <v/>
      </c>
    </row>
    <row r="45">
      <c r="A45" s="13" t="n"/>
      <c r="B45" s="13" t="n"/>
      <c r="C45" s="13" t="n"/>
      <c r="D45" s="13" t="n"/>
      <c r="E45" s="13" t="n"/>
      <c r="F45" s="19" t="n"/>
      <c r="G45" s="19" t="n"/>
      <c r="H45" s="15" t="n"/>
      <c r="I45">
        <f>IF(OR(A45&lt;&gt; '控制台'!B4,B45&lt;&gt; '控制台'!B5,F45=""),"",DATE(VALUE(LEFT('控制台'!B5,4)),VALUE(RIGHT('控制台'!B5,2))+1,1)-1-F45)</f>
        <v/>
      </c>
      <c r="J45">
        <f>IF(OR(A45&lt;&gt; '控制台'!B4,B45&lt;&gt; '控制台'!B5,G45=""),"",MAX(0,DATE(VALUE(LEFT('控制台'!B5,4)),VALUE(RIGHT('控制台'!B5,2))+1,1)-1-G45))</f>
        <v/>
      </c>
      <c r="K45">
        <f>IF(A45="","",IF(AND(AND('控制台'!B4&lt;&gt;"",'控制台'!B5&lt;&gt;"",'控制台'!B4='刷新信息'!B6,'控制台'!B5='刷新信息'!B8),A45='控制台'!B4,B45='控制台'!B5,OR(C45="应收",C45="应付"),COUNTIFS('往来余额'!A5:A6000,C45,'往来余额'!B5:B6000,D45)=1,E45&lt;&gt;"",COUNTIFS(A$5:A$504,A45,B$5:B$504,B45,C$5:C$504,C45,D$5:D$504,D45,E$5:E$504,E45)=1,ISNUMBER(F45),I45&gt;=0,ISNUMBER(H45),H45&gt;=0),"纳入","待核实"))</f>
        <v/>
      </c>
    </row>
    <row r="46">
      <c r="A46" s="13" t="n"/>
      <c r="B46" s="13" t="n"/>
      <c r="C46" s="13" t="n"/>
      <c r="D46" s="13" t="n"/>
      <c r="E46" s="13" t="n"/>
      <c r="F46" s="19" t="n"/>
      <c r="G46" s="19" t="n"/>
      <c r="H46" s="15" t="n"/>
      <c r="I46">
        <f>IF(OR(A46&lt;&gt; '控制台'!B4,B46&lt;&gt; '控制台'!B5,F46=""),"",DATE(VALUE(LEFT('控制台'!B5,4)),VALUE(RIGHT('控制台'!B5,2))+1,1)-1-F46)</f>
        <v/>
      </c>
      <c r="J46">
        <f>IF(OR(A46&lt;&gt; '控制台'!B4,B46&lt;&gt; '控制台'!B5,G46=""),"",MAX(0,DATE(VALUE(LEFT('控制台'!B5,4)),VALUE(RIGHT('控制台'!B5,2))+1,1)-1-G46))</f>
        <v/>
      </c>
      <c r="K46">
        <f>IF(A46="","",IF(AND(AND('控制台'!B4&lt;&gt;"",'控制台'!B5&lt;&gt;"",'控制台'!B4='刷新信息'!B6,'控制台'!B5='刷新信息'!B8),A46='控制台'!B4,B46='控制台'!B5,OR(C46="应收",C46="应付"),COUNTIFS('往来余额'!A5:A6000,C46,'往来余额'!B5:B6000,D46)=1,E46&lt;&gt;"",COUNTIFS(A$5:A$504,A46,B$5:B$504,B46,C$5:C$504,C46,D$5:D$504,D46,E$5:E$504,E46)=1,ISNUMBER(F46),I46&gt;=0,ISNUMBER(H46),H46&gt;=0),"纳入","待核实"))</f>
        <v/>
      </c>
    </row>
    <row r="47">
      <c r="A47" s="13" t="n"/>
      <c r="B47" s="13" t="n"/>
      <c r="C47" s="13" t="n"/>
      <c r="D47" s="13" t="n"/>
      <c r="E47" s="13" t="n"/>
      <c r="F47" s="19" t="n"/>
      <c r="G47" s="19" t="n"/>
      <c r="H47" s="15" t="n"/>
      <c r="I47">
        <f>IF(OR(A47&lt;&gt; '控制台'!B4,B47&lt;&gt; '控制台'!B5,F47=""),"",DATE(VALUE(LEFT('控制台'!B5,4)),VALUE(RIGHT('控制台'!B5,2))+1,1)-1-F47)</f>
        <v/>
      </c>
      <c r="J47">
        <f>IF(OR(A47&lt;&gt; '控制台'!B4,B47&lt;&gt; '控制台'!B5,G47=""),"",MAX(0,DATE(VALUE(LEFT('控制台'!B5,4)),VALUE(RIGHT('控制台'!B5,2))+1,1)-1-G47))</f>
        <v/>
      </c>
      <c r="K47">
        <f>IF(A47="","",IF(AND(AND('控制台'!B4&lt;&gt;"",'控制台'!B5&lt;&gt;"",'控制台'!B4='刷新信息'!B6,'控制台'!B5='刷新信息'!B8),A47='控制台'!B4,B47='控制台'!B5,OR(C47="应收",C47="应付"),COUNTIFS('往来余额'!A5:A6000,C47,'往来余额'!B5:B6000,D47)=1,E47&lt;&gt;"",COUNTIFS(A$5:A$504,A47,B$5:B$504,B47,C$5:C$504,C47,D$5:D$504,D47,E$5:E$504,E47)=1,ISNUMBER(F47),I47&gt;=0,ISNUMBER(H47),H47&gt;=0),"纳入","待核实"))</f>
        <v/>
      </c>
    </row>
    <row r="48">
      <c r="A48" s="13" t="n"/>
      <c r="B48" s="13" t="n"/>
      <c r="C48" s="13" t="n"/>
      <c r="D48" s="13" t="n"/>
      <c r="E48" s="13" t="n"/>
      <c r="F48" s="19" t="n"/>
      <c r="G48" s="19" t="n"/>
      <c r="H48" s="15" t="n"/>
      <c r="I48">
        <f>IF(OR(A48&lt;&gt; '控制台'!B4,B48&lt;&gt; '控制台'!B5,F48=""),"",DATE(VALUE(LEFT('控制台'!B5,4)),VALUE(RIGHT('控制台'!B5,2))+1,1)-1-F48)</f>
        <v/>
      </c>
      <c r="J48">
        <f>IF(OR(A48&lt;&gt; '控制台'!B4,B48&lt;&gt; '控制台'!B5,G48=""),"",MAX(0,DATE(VALUE(LEFT('控制台'!B5,4)),VALUE(RIGHT('控制台'!B5,2))+1,1)-1-G48))</f>
        <v/>
      </c>
      <c r="K48">
        <f>IF(A48="","",IF(AND(AND('控制台'!B4&lt;&gt;"",'控制台'!B5&lt;&gt;"",'控制台'!B4='刷新信息'!B6,'控制台'!B5='刷新信息'!B8),A48='控制台'!B4,B48='控制台'!B5,OR(C48="应收",C48="应付"),COUNTIFS('往来余额'!A5:A6000,C48,'往来余额'!B5:B6000,D48)=1,E48&lt;&gt;"",COUNTIFS(A$5:A$504,A48,B$5:B$504,B48,C$5:C$504,C48,D$5:D$504,D48,E$5:E$504,E48)=1,ISNUMBER(F48),I48&gt;=0,ISNUMBER(H48),H48&gt;=0),"纳入","待核实"))</f>
        <v/>
      </c>
    </row>
    <row r="49">
      <c r="A49" s="13" t="n"/>
      <c r="B49" s="13" t="n"/>
      <c r="C49" s="13" t="n"/>
      <c r="D49" s="13" t="n"/>
      <c r="E49" s="13" t="n"/>
      <c r="F49" s="19" t="n"/>
      <c r="G49" s="19" t="n"/>
      <c r="H49" s="15" t="n"/>
      <c r="I49">
        <f>IF(OR(A49&lt;&gt; '控制台'!B4,B49&lt;&gt; '控制台'!B5,F49=""),"",DATE(VALUE(LEFT('控制台'!B5,4)),VALUE(RIGHT('控制台'!B5,2))+1,1)-1-F49)</f>
        <v/>
      </c>
      <c r="J49">
        <f>IF(OR(A49&lt;&gt; '控制台'!B4,B49&lt;&gt; '控制台'!B5,G49=""),"",MAX(0,DATE(VALUE(LEFT('控制台'!B5,4)),VALUE(RIGHT('控制台'!B5,2))+1,1)-1-G49))</f>
        <v/>
      </c>
      <c r="K49">
        <f>IF(A49="","",IF(AND(AND('控制台'!B4&lt;&gt;"",'控制台'!B5&lt;&gt;"",'控制台'!B4='刷新信息'!B6,'控制台'!B5='刷新信息'!B8),A49='控制台'!B4,B49='控制台'!B5,OR(C49="应收",C49="应付"),COUNTIFS('往来余额'!A5:A6000,C49,'往来余额'!B5:B6000,D49)=1,E49&lt;&gt;"",COUNTIFS(A$5:A$504,A49,B$5:B$504,B49,C$5:C$504,C49,D$5:D$504,D49,E$5:E$504,E49)=1,ISNUMBER(F49),I49&gt;=0,ISNUMBER(H49),H49&gt;=0),"纳入","待核实"))</f>
        <v/>
      </c>
    </row>
    <row r="50">
      <c r="A50" s="13" t="n"/>
      <c r="B50" s="13" t="n"/>
      <c r="C50" s="13" t="n"/>
      <c r="D50" s="13" t="n"/>
      <c r="E50" s="13" t="n"/>
      <c r="F50" s="19" t="n"/>
      <c r="G50" s="19" t="n"/>
      <c r="H50" s="15" t="n"/>
      <c r="I50">
        <f>IF(OR(A50&lt;&gt; '控制台'!B4,B50&lt;&gt; '控制台'!B5,F50=""),"",DATE(VALUE(LEFT('控制台'!B5,4)),VALUE(RIGHT('控制台'!B5,2))+1,1)-1-F50)</f>
        <v/>
      </c>
      <c r="J50">
        <f>IF(OR(A50&lt;&gt; '控制台'!B4,B50&lt;&gt; '控制台'!B5,G50=""),"",MAX(0,DATE(VALUE(LEFT('控制台'!B5,4)),VALUE(RIGHT('控制台'!B5,2))+1,1)-1-G50))</f>
        <v/>
      </c>
      <c r="K50">
        <f>IF(A50="","",IF(AND(AND('控制台'!B4&lt;&gt;"",'控制台'!B5&lt;&gt;"",'控制台'!B4='刷新信息'!B6,'控制台'!B5='刷新信息'!B8),A50='控制台'!B4,B50='控制台'!B5,OR(C50="应收",C50="应付"),COUNTIFS('往来余额'!A5:A6000,C50,'往来余额'!B5:B6000,D50)=1,E50&lt;&gt;"",COUNTIFS(A$5:A$504,A50,B$5:B$504,B50,C$5:C$504,C50,D$5:D$504,D50,E$5:E$504,E50)=1,ISNUMBER(F50),I50&gt;=0,ISNUMBER(H50),H50&gt;=0),"纳入","待核实"))</f>
        <v/>
      </c>
    </row>
    <row r="51">
      <c r="A51" s="13" t="n"/>
      <c r="B51" s="13" t="n"/>
      <c r="C51" s="13" t="n"/>
      <c r="D51" s="13" t="n"/>
      <c r="E51" s="13" t="n"/>
      <c r="F51" s="19" t="n"/>
      <c r="G51" s="19" t="n"/>
      <c r="H51" s="15" t="n"/>
      <c r="I51">
        <f>IF(OR(A51&lt;&gt; '控制台'!B4,B51&lt;&gt; '控制台'!B5,F51=""),"",DATE(VALUE(LEFT('控制台'!B5,4)),VALUE(RIGHT('控制台'!B5,2))+1,1)-1-F51)</f>
        <v/>
      </c>
      <c r="J51">
        <f>IF(OR(A51&lt;&gt; '控制台'!B4,B51&lt;&gt; '控制台'!B5,G51=""),"",MAX(0,DATE(VALUE(LEFT('控制台'!B5,4)),VALUE(RIGHT('控制台'!B5,2))+1,1)-1-G51))</f>
        <v/>
      </c>
      <c r="K51">
        <f>IF(A51="","",IF(AND(AND('控制台'!B4&lt;&gt;"",'控制台'!B5&lt;&gt;"",'控制台'!B4='刷新信息'!B6,'控制台'!B5='刷新信息'!B8),A51='控制台'!B4,B51='控制台'!B5,OR(C51="应收",C51="应付"),COUNTIFS('往来余额'!A5:A6000,C51,'往来余额'!B5:B6000,D51)=1,E51&lt;&gt;"",COUNTIFS(A$5:A$504,A51,B$5:B$504,B51,C$5:C$504,C51,D$5:D$504,D51,E$5:E$504,E51)=1,ISNUMBER(F51),I51&gt;=0,ISNUMBER(H51),H51&gt;=0),"纳入","待核实"))</f>
        <v/>
      </c>
    </row>
    <row r="52">
      <c r="A52" s="13" t="n"/>
      <c r="B52" s="13" t="n"/>
      <c r="C52" s="13" t="n"/>
      <c r="D52" s="13" t="n"/>
      <c r="E52" s="13" t="n"/>
      <c r="F52" s="19" t="n"/>
      <c r="G52" s="19" t="n"/>
      <c r="H52" s="15" t="n"/>
      <c r="I52">
        <f>IF(OR(A52&lt;&gt; '控制台'!B4,B52&lt;&gt; '控制台'!B5,F52=""),"",DATE(VALUE(LEFT('控制台'!B5,4)),VALUE(RIGHT('控制台'!B5,2))+1,1)-1-F52)</f>
        <v/>
      </c>
      <c r="J52">
        <f>IF(OR(A52&lt;&gt; '控制台'!B4,B52&lt;&gt; '控制台'!B5,G52=""),"",MAX(0,DATE(VALUE(LEFT('控制台'!B5,4)),VALUE(RIGHT('控制台'!B5,2))+1,1)-1-G52))</f>
        <v/>
      </c>
      <c r="K52">
        <f>IF(A52="","",IF(AND(AND('控制台'!B4&lt;&gt;"",'控制台'!B5&lt;&gt;"",'控制台'!B4='刷新信息'!B6,'控制台'!B5='刷新信息'!B8),A52='控制台'!B4,B52='控制台'!B5,OR(C52="应收",C52="应付"),COUNTIFS('往来余额'!A5:A6000,C52,'往来余额'!B5:B6000,D52)=1,E52&lt;&gt;"",COUNTIFS(A$5:A$504,A52,B$5:B$504,B52,C$5:C$504,C52,D$5:D$504,D52,E$5:E$504,E52)=1,ISNUMBER(F52),I52&gt;=0,ISNUMBER(H52),H52&gt;=0),"纳入","待核实"))</f>
        <v/>
      </c>
    </row>
    <row r="53">
      <c r="A53" s="13" t="n"/>
      <c r="B53" s="13" t="n"/>
      <c r="C53" s="13" t="n"/>
      <c r="D53" s="13" t="n"/>
      <c r="E53" s="13" t="n"/>
      <c r="F53" s="19" t="n"/>
      <c r="G53" s="19" t="n"/>
      <c r="H53" s="15" t="n"/>
      <c r="I53">
        <f>IF(OR(A53&lt;&gt; '控制台'!B4,B53&lt;&gt; '控制台'!B5,F53=""),"",DATE(VALUE(LEFT('控制台'!B5,4)),VALUE(RIGHT('控制台'!B5,2))+1,1)-1-F53)</f>
        <v/>
      </c>
      <c r="J53">
        <f>IF(OR(A53&lt;&gt; '控制台'!B4,B53&lt;&gt; '控制台'!B5,G53=""),"",MAX(0,DATE(VALUE(LEFT('控制台'!B5,4)),VALUE(RIGHT('控制台'!B5,2))+1,1)-1-G53))</f>
        <v/>
      </c>
      <c r="K53">
        <f>IF(A53="","",IF(AND(AND('控制台'!B4&lt;&gt;"",'控制台'!B5&lt;&gt;"",'控制台'!B4='刷新信息'!B6,'控制台'!B5='刷新信息'!B8),A53='控制台'!B4,B53='控制台'!B5,OR(C53="应收",C53="应付"),COUNTIFS('往来余额'!A5:A6000,C53,'往来余额'!B5:B6000,D53)=1,E53&lt;&gt;"",COUNTIFS(A$5:A$504,A53,B$5:B$504,B53,C$5:C$504,C53,D$5:D$504,D53,E$5:E$504,E53)=1,ISNUMBER(F53),I53&gt;=0,ISNUMBER(H53),H53&gt;=0),"纳入","待核实"))</f>
        <v/>
      </c>
    </row>
    <row r="54">
      <c r="A54" s="13" t="n"/>
      <c r="B54" s="13" t="n"/>
      <c r="C54" s="13" t="n"/>
      <c r="D54" s="13" t="n"/>
      <c r="E54" s="13" t="n"/>
      <c r="F54" s="19" t="n"/>
      <c r="G54" s="19" t="n"/>
      <c r="H54" s="15" t="n"/>
      <c r="I54">
        <f>IF(OR(A54&lt;&gt; '控制台'!B4,B54&lt;&gt; '控制台'!B5,F54=""),"",DATE(VALUE(LEFT('控制台'!B5,4)),VALUE(RIGHT('控制台'!B5,2))+1,1)-1-F54)</f>
        <v/>
      </c>
      <c r="J54">
        <f>IF(OR(A54&lt;&gt; '控制台'!B4,B54&lt;&gt; '控制台'!B5,G54=""),"",MAX(0,DATE(VALUE(LEFT('控制台'!B5,4)),VALUE(RIGHT('控制台'!B5,2))+1,1)-1-G54))</f>
        <v/>
      </c>
      <c r="K54">
        <f>IF(A54="","",IF(AND(AND('控制台'!B4&lt;&gt;"",'控制台'!B5&lt;&gt;"",'控制台'!B4='刷新信息'!B6,'控制台'!B5='刷新信息'!B8),A54='控制台'!B4,B54='控制台'!B5,OR(C54="应收",C54="应付"),COUNTIFS('往来余额'!A5:A6000,C54,'往来余额'!B5:B6000,D54)=1,E54&lt;&gt;"",COUNTIFS(A$5:A$504,A54,B$5:B$504,B54,C$5:C$504,C54,D$5:D$504,D54,E$5:E$504,E54)=1,ISNUMBER(F54),I54&gt;=0,ISNUMBER(H54),H54&gt;=0),"纳入","待核实"))</f>
        <v/>
      </c>
    </row>
    <row r="55">
      <c r="A55" s="13" t="n"/>
      <c r="B55" s="13" t="n"/>
      <c r="C55" s="13" t="n"/>
      <c r="D55" s="13" t="n"/>
      <c r="E55" s="13" t="n"/>
      <c r="F55" s="19" t="n"/>
      <c r="G55" s="19" t="n"/>
      <c r="H55" s="15" t="n"/>
      <c r="I55">
        <f>IF(OR(A55&lt;&gt; '控制台'!B4,B55&lt;&gt; '控制台'!B5,F55=""),"",DATE(VALUE(LEFT('控制台'!B5,4)),VALUE(RIGHT('控制台'!B5,2))+1,1)-1-F55)</f>
        <v/>
      </c>
      <c r="J55">
        <f>IF(OR(A55&lt;&gt; '控制台'!B4,B55&lt;&gt; '控制台'!B5,G55=""),"",MAX(0,DATE(VALUE(LEFT('控制台'!B5,4)),VALUE(RIGHT('控制台'!B5,2))+1,1)-1-G55))</f>
        <v/>
      </c>
      <c r="K55">
        <f>IF(A55="","",IF(AND(AND('控制台'!B4&lt;&gt;"",'控制台'!B5&lt;&gt;"",'控制台'!B4='刷新信息'!B6,'控制台'!B5='刷新信息'!B8),A55='控制台'!B4,B55='控制台'!B5,OR(C55="应收",C55="应付"),COUNTIFS('往来余额'!A5:A6000,C55,'往来余额'!B5:B6000,D55)=1,E55&lt;&gt;"",COUNTIFS(A$5:A$504,A55,B$5:B$504,B55,C$5:C$504,C55,D$5:D$504,D55,E$5:E$504,E55)=1,ISNUMBER(F55),I55&gt;=0,ISNUMBER(H55),H55&gt;=0),"纳入","待核实"))</f>
        <v/>
      </c>
    </row>
    <row r="56">
      <c r="A56" s="13" t="n"/>
      <c r="B56" s="13" t="n"/>
      <c r="C56" s="13" t="n"/>
      <c r="D56" s="13" t="n"/>
      <c r="E56" s="13" t="n"/>
      <c r="F56" s="19" t="n"/>
      <c r="G56" s="19" t="n"/>
      <c r="H56" s="15" t="n"/>
      <c r="I56">
        <f>IF(OR(A56&lt;&gt; '控制台'!B4,B56&lt;&gt; '控制台'!B5,F56=""),"",DATE(VALUE(LEFT('控制台'!B5,4)),VALUE(RIGHT('控制台'!B5,2))+1,1)-1-F56)</f>
        <v/>
      </c>
      <c r="J56">
        <f>IF(OR(A56&lt;&gt; '控制台'!B4,B56&lt;&gt; '控制台'!B5,G56=""),"",MAX(0,DATE(VALUE(LEFT('控制台'!B5,4)),VALUE(RIGHT('控制台'!B5,2))+1,1)-1-G56))</f>
        <v/>
      </c>
      <c r="K56">
        <f>IF(A56="","",IF(AND(AND('控制台'!B4&lt;&gt;"",'控制台'!B5&lt;&gt;"",'控制台'!B4='刷新信息'!B6,'控制台'!B5='刷新信息'!B8),A56='控制台'!B4,B56='控制台'!B5,OR(C56="应收",C56="应付"),COUNTIFS('往来余额'!A5:A6000,C56,'往来余额'!B5:B6000,D56)=1,E56&lt;&gt;"",COUNTIFS(A$5:A$504,A56,B$5:B$504,B56,C$5:C$504,C56,D$5:D$504,D56,E$5:E$504,E56)=1,ISNUMBER(F56),I56&gt;=0,ISNUMBER(H56),H56&gt;=0),"纳入","待核实"))</f>
        <v/>
      </c>
    </row>
    <row r="57">
      <c r="A57" s="13" t="n"/>
      <c r="B57" s="13" t="n"/>
      <c r="C57" s="13" t="n"/>
      <c r="D57" s="13" t="n"/>
      <c r="E57" s="13" t="n"/>
      <c r="F57" s="19" t="n"/>
      <c r="G57" s="19" t="n"/>
      <c r="H57" s="15" t="n"/>
      <c r="I57">
        <f>IF(OR(A57&lt;&gt; '控制台'!B4,B57&lt;&gt; '控制台'!B5,F57=""),"",DATE(VALUE(LEFT('控制台'!B5,4)),VALUE(RIGHT('控制台'!B5,2))+1,1)-1-F57)</f>
        <v/>
      </c>
      <c r="J57">
        <f>IF(OR(A57&lt;&gt; '控制台'!B4,B57&lt;&gt; '控制台'!B5,G57=""),"",MAX(0,DATE(VALUE(LEFT('控制台'!B5,4)),VALUE(RIGHT('控制台'!B5,2))+1,1)-1-G57))</f>
        <v/>
      </c>
      <c r="K57">
        <f>IF(A57="","",IF(AND(AND('控制台'!B4&lt;&gt;"",'控制台'!B5&lt;&gt;"",'控制台'!B4='刷新信息'!B6,'控制台'!B5='刷新信息'!B8),A57='控制台'!B4,B57='控制台'!B5,OR(C57="应收",C57="应付"),COUNTIFS('往来余额'!A5:A6000,C57,'往来余额'!B5:B6000,D57)=1,E57&lt;&gt;"",COUNTIFS(A$5:A$504,A57,B$5:B$504,B57,C$5:C$504,C57,D$5:D$504,D57,E$5:E$504,E57)=1,ISNUMBER(F57),I57&gt;=0,ISNUMBER(H57),H57&gt;=0),"纳入","待核实"))</f>
        <v/>
      </c>
    </row>
    <row r="58">
      <c r="A58" s="13" t="n"/>
      <c r="B58" s="13" t="n"/>
      <c r="C58" s="13" t="n"/>
      <c r="D58" s="13" t="n"/>
      <c r="E58" s="13" t="n"/>
      <c r="F58" s="19" t="n"/>
      <c r="G58" s="19" t="n"/>
      <c r="H58" s="15" t="n"/>
      <c r="I58">
        <f>IF(OR(A58&lt;&gt; '控制台'!B4,B58&lt;&gt; '控制台'!B5,F58=""),"",DATE(VALUE(LEFT('控制台'!B5,4)),VALUE(RIGHT('控制台'!B5,2))+1,1)-1-F58)</f>
        <v/>
      </c>
      <c r="J58">
        <f>IF(OR(A58&lt;&gt; '控制台'!B4,B58&lt;&gt; '控制台'!B5,G58=""),"",MAX(0,DATE(VALUE(LEFT('控制台'!B5,4)),VALUE(RIGHT('控制台'!B5,2))+1,1)-1-G58))</f>
        <v/>
      </c>
      <c r="K58">
        <f>IF(A58="","",IF(AND(AND('控制台'!B4&lt;&gt;"",'控制台'!B5&lt;&gt;"",'控制台'!B4='刷新信息'!B6,'控制台'!B5='刷新信息'!B8),A58='控制台'!B4,B58='控制台'!B5,OR(C58="应收",C58="应付"),COUNTIFS('往来余额'!A5:A6000,C58,'往来余额'!B5:B6000,D58)=1,E58&lt;&gt;"",COUNTIFS(A$5:A$504,A58,B$5:B$504,B58,C$5:C$504,C58,D$5:D$504,D58,E$5:E$504,E58)=1,ISNUMBER(F58),I58&gt;=0,ISNUMBER(H58),H58&gt;=0),"纳入","待核实"))</f>
        <v/>
      </c>
    </row>
    <row r="59">
      <c r="A59" s="13" t="n"/>
      <c r="B59" s="13" t="n"/>
      <c r="C59" s="13" t="n"/>
      <c r="D59" s="13" t="n"/>
      <c r="E59" s="13" t="n"/>
      <c r="F59" s="19" t="n"/>
      <c r="G59" s="19" t="n"/>
      <c r="H59" s="15" t="n"/>
      <c r="I59">
        <f>IF(OR(A59&lt;&gt; '控制台'!B4,B59&lt;&gt; '控制台'!B5,F59=""),"",DATE(VALUE(LEFT('控制台'!B5,4)),VALUE(RIGHT('控制台'!B5,2))+1,1)-1-F59)</f>
        <v/>
      </c>
      <c r="J59">
        <f>IF(OR(A59&lt;&gt; '控制台'!B4,B59&lt;&gt; '控制台'!B5,G59=""),"",MAX(0,DATE(VALUE(LEFT('控制台'!B5,4)),VALUE(RIGHT('控制台'!B5,2))+1,1)-1-G59))</f>
        <v/>
      </c>
      <c r="K59">
        <f>IF(A59="","",IF(AND(AND('控制台'!B4&lt;&gt;"",'控制台'!B5&lt;&gt;"",'控制台'!B4='刷新信息'!B6,'控制台'!B5='刷新信息'!B8),A59='控制台'!B4,B59='控制台'!B5,OR(C59="应收",C59="应付"),COUNTIFS('往来余额'!A5:A6000,C59,'往来余额'!B5:B6000,D59)=1,E59&lt;&gt;"",COUNTIFS(A$5:A$504,A59,B$5:B$504,B59,C$5:C$504,C59,D$5:D$504,D59,E$5:E$504,E59)=1,ISNUMBER(F59),I59&gt;=0,ISNUMBER(H59),H59&gt;=0),"纳入","待核实"))</f>
        <v/>
      </c>
    </row>
    <row r="60">
      <c r="A60" s="13" t="n"/>
      <c r="B60" s="13" t="n"/>
      <c r="C60" s="13" t="n"/>
      <c r="D60" s="13" t="n"/>
      <c r="E60" s="13" t="n"/>
      <c r="F60" s="19" t="n"/>
      <c r="G60" s="19" t="n"/>
      <c r="H60" s="15" t="n"/>
      <c r="I60">
        <f>IF(OR(A60&lt;&gt; '控制台'!B4,B60&lt;&gt; '控制台'!B5,F60=""),"",DATE(VALUE(LEFT('控制台'!B5,4)),VALUE(RIGHT('控制台'!B5,2))+1,1)-1-F60)</f>
        <v/>
      </c>
      <c r="J60">
        <f>IF(OR(A60&lt;&gt; '控制台'!B4,B60&lt;&gt; '控制台'!B5,G60=""),"",MAX(0,DATE(VALUE(LEFT('控制台'!B5,4)),VALUE(RIGHT('控制台'!B5,2))+1,1)-1-G60))</f>
        <v/>
      </c>
      <c r="K60">
        <f>IF(A60="","",IF(AND(AND('控制台'!B4&lt;&gt;"",'控制台'!B5&lt;&gt;"",'控制台'!B4='刷新信息'!B6,'控制台'!B5='刷新信息'!B8),A60='控制台'!B4,B60='控制台'!B5,OR(C60="应收",C60="应付"),COUNTIFS('往来余额'!A5:A6000,C60,'往来余额'!B5:B6000,D60)=1,E60&lt;&gt;"",COUNTIFS(A$5:A$504,A60,B$5:B$504,B60,C$5:C$504,C60,D$5:D$504,D60,E$5:E$504,E60)=1,ISNUMBER(F60),I60&gt;=0,ISNUMBER(H60),H60&gt;=0),"纳入","待核实"))</f>
        <v/>
      </c>
    </row>
    <row r="61">
      <c r="A61" s="13" t="n"/>
      <c r="B61" s="13" t="n"/>
      <c r="C61" s="13" t="n"/>
      <c r="D61" s="13" t="n"/>
      <c r="E61" s="13" t="n"/>
      <c r="F61" s="19" t="n"/>
      <c r="G61" s="19" t="n"/>
      <c r="H61" s="15" t="n"/>
      <c r="I61">
        <f>IF(OR(A61&lt;&gt; '控制台'!B4,B61&lt;&gt; '控制台'!B5,F61=""),"",DATE(VALUE(LEFT('控制台'!B5,4)),VALUE(RIGHT('控制台'!B5,2))+1,1)-1-F61)</f>
        <v/>
      </c>
      <c r="J61">
        <f>IF(OR(A61&lt;&gt; '控制台'!B4,B61&lt;&gt; '控制台'!B5,G61=""),"",MAX(0,DATE(VALUE(LEFT('控制台'!B5,4)),VALUE(RIGHT('控制台'!B5,2))+1,1)-1-G61))</f>
        <v/>
      </c>
      <c r="K61">
        <f>IF(A61="","",IF(AND(AND('控制台'!B4&lt;&gt;"",'控制台'!B5&lt;&gt;"",'控制台'!B4='刷新信息'!B6,'控制台'!B5='刷新信息'!B8),A61='控制台'!B4,B61='控制台'!B5,OR(C61="应收",C61="应付"),COUNTIFS('往来余额'!A5:A6000,C61,'往来余额'!B5:B6000,D61)=1,E61&lt;&gt;"",COUNTIFS(A$5:A$504,A61,B$5:B$504,B61,C$5:C$504,C61,D$5:D$504,D61,E$5:E$504,E61)=1,ISNUMBER(F61),I61&gt;=0,ISNUMBER(H61),H61&gt;=0),"纳入","待核实"))</f>
        <v/>
      </c>
    </row>
    <row r="62">
      <c r="A62" s="13" t="n"/>
      <c r="B62" s="13" t="n"/>
      <c r="C62" s="13" t="n"/>
      <c r="D62" s="13" t="n"/>
      <c r="E62" s="13" t="n"/>
      <c r="F62" s="19" t="n"/>
      <c r="G62" s="19" t="n"/>
      <c r="H62" s="15" t="n"/>
      <c r="I62">
        <f>IF(OR(A62&lt;&gt; '控制台'!B4,B62&lt;&gt; '控制台'!B5,F62=""),"",DATE(VALUE(LEFT('控制台'!B5,4)),VALUE(RIGHT('控制台'!B5,2))+1,1)-1-F62)</f>
        <v/>
      </c>
      <c r="J62">
        <f>IF(OR(A62&lt;&gt; '控制台'!B4,B62&lt;&gt; '控制台'!B5,G62=""),"",MAX(0,DATE(VALUE(LEFT('控制台'!B5,4)),VALUE(RIGHT('控制台'!B5,2))+1,1)-1-G62))</f>
        <v/>
      </c>
      <c r="K62">
        <f>IF(A62="","",IF(AND(AND('控制台'!B4&lt;&gt;"",'控制台'!B5&lt;&gt;"",'控制台'!B4='刷新信息'!B6,'控制台'!B5='刷新信息'!B8),A62='控制台'!B4,B62='控制台'!B5,OR(C62="应收",C62="应付"),COUNTIFS('往来余额'!A5:A6000,C62,'往来余额'!B5:B6000,D62)=1,E62&lt;&gt;"",COUNTIFS(A$5:A$504,A62,B$5:B$504,B62,C$5:C$504,C62,D$5:D$504,D62,E$5:E$504,E62)=1,ISNUMBER(F62),I62&gt;=0,ISNUMBER(H62),H62&gt;=0),"纳入","待核实"))</f>
        <v/>
      </c>
    </row>
    <row r="63">
      <c r="A63" s="13" t="n"/>
      <c r="B63" s="13" t="n"/>
      <c r="C63" s="13" t="n"/>
      <c r="D63" s="13" t="n"/>
      <c r="E63" s="13" t="n"/>
      <c r="F63" s="19" t="n"/>
      <c r="G63" s="19" t="n"/>
      <c r="H63" s="15" t="n"/>
      <c r="I63">
        <f>IF(OR(A63&lt;&gt; '控制台'!B4,B63&lt;&gt; '控制台'!B5,F63=""),"",DATE(VALUE(LEFT('控制台'!B5,4)),VALUE(RIGHT('控制台'!B5,2))+1,1)-1-F63)</f>
        <v/>
      </c>
      <c r="J63">
        <f>IF(OR(A63&lt;&gt; '控制台'!B4,B63&lt;&gt; '控制台'!B5,G63=""),"",MAX(0,DATE(VALUE(LEFT('控制台'!B5,4)),VALUE(RIGHT('控制台'!B5,2))+1,1)-1-G63))</f>
        <v/>
      </c>
      <c r="K63">
        <f>IF(A63="","",IF(AND(AND('控制台'!B4&lt;&gt;"",'控制台'!B5&lt;&gt;"",'控制台'!B4='刷新信息'!B6,'控制台'!B5='刷新信息'!B8),A63='控制台'!B4,B63='控制台'!B5,OR(C63="应收",C63="应付"),COUNTIFS('往来余额'!A5:A6000,C63,'往来余额'!B5:B6000,D63)=1,E63&lt;&gt;"",COUNTIFS(A$5:A$504,A63,B$5:B$504,B63,C$5:C$504,C63,D$5:D$504,D63,E$5:E$504,E63)=1,ISNUMBER(F63),I63&gt;=0,ISNUMBER(H63),H63&gt;=0),"纳入","待核实"))</f>
        <v/>
      </c>
    </row>
    <row r="64">
      <c r="A64" s="13" t="n"/>
      <c r="B64" s="13" t="n"/>
      <c r="C64" s="13" t="n"/>
      <c r="D64" s="13" t="n"/>
      <c r="E64" s="13" t="n"/>
      <c r="F64" s="19" t="n"/>
      <c r="G64" s="19" t="n"/>
      <c r="H64" s="15" t="n"/>
      <c r="I64">
        <f>IF(OR(A64&lt;&gt; '控制台'!B4,B64&lt;&gt; '控制台'!B5,F64=""),"",DATE(VALUE(LEFT('控制台'!B5,4)),VALUE(RIGHT('控制台'!B5,2))+1,1)-1-F64)</f>
        <v/>
      </c>
      <c r="J64">
        <f>IF(OR(A64&lt;&gt; '控制台'!B4,B64&lt;&gt; '控制台'!B5,G64=""),"",MAX(0,DATE(VALUE(LEFT('控制台'!B5,4)),VALUE(RIGHT('控制台'!B5,2))+1,1)-1-G64))</f>
        <v/>
      </c>
      <c r="K64">
        <f>IF(A64="","",IF(AND(AND('控制台'!B4&lt;&gt;"",'控制台'!B5&lt;&gt;"",'控制台'!B4='刷新信息'!B6,'控制台'!B5='刷新信息'!B8),A64='控制台'!B4,B64='控制台'!B5,OR(C64="应收",C64="应付"),COUNTIFS('往来余额'!A5:A6000,C64,'往来余额'!B5:B6000,D64)=1,E64&lt;&gt;"",COUNTIFS(A$5:A$504,A64,B$5:B$504,B64,C$5:C$504,C64,D$5:D$504,D64,E$5:E$504,E64)=1,ISNUMBER(F64),I64&gt;=0,ISNUMBER(H64),H64&gt;=0),"纳入","待核实"))</f>
        <v/>
      </c>
    </row>
    <row r="65">
      <c r="A65" s="13" t="n"/>
      <c r="B65" s="13" t="n"/>
      <c r="C65" s="13" t="n"/>
      <c r="D65" s="13" t="n"/>
      <c r="E65" s="13" t="n"/>
      <c r="F65" s="19" t="n"/>
      <c r="G65" s="19" t="n"/>
      <c r="H65" s="15" t="n"/>
      <c r="I65">
        <f>IF(OR(A65&lt;&gt; '控制台'!B4,B65&lt;&gt; '控制台'!B5,F65=""),"",DATE(VALUE(LEFT('控制台'!B5,4)),VALUE(RIGHT('控制台'!B5,2))+1,1)-1-F65)</f>
        <v/>
      </c>
      <c r="J65">
        <f>IF(OR(A65&lt;&gt; '控制台'!B4,B65&lt;&gt; '控制台'!B5,G65=""),"",MAX(0,DATE(VALUE(LEFT('控制台'!B5,4)),VALUE(RIGHT('控制台'!B5,2))+1,1)-1-G65))</f>
        <v/>
      </c>
      <c r="K65">
        <f>IF(A65="","",IF(AND(AND('控制台'!B4&lt;&gt;"",'控制台'!B5&lt;&gt;"",'控制台'!B4='刷新信息'!B6,'控制台'!B5='刷新信息'!B8),A65='控制台'!B4,B65='控制台'!B5,OR(C65="应收",C65="应付"),COUNTIFS('往来余额'!A5:A6000,C65,'往来余额'!B5:B6000,D65)=1,E65&lt;&gt;"",COUNTIFS(A$5:A$504,A65,B$5:B$504,B65,C$5:C$504,C65,D$5:D$504,D65,E$5:E$504,E65)=1,ISNUMBER(F65),I65&gt;=0,ISNUMBER(H65),H65&gt;=0),"纳入","待核实"))</f>
        <v/>
      </c>
    </row>
    <row r="66">
      <c r="A66" s="13" t="n"/>
      <c r="B66" s="13" t="n"/>
      <c r="C66" s="13" t="n"/>
      <c r="D66" s="13" t="n"/>
      <c r="E66" s="13" t="n"/>
      <c r="F66" s="19" t="n"/>
      <c r="G66" s="19" t="n"/>
      <c r="H66" s="15" t="n"/>
      <c r="I66">
        <f>IF(OR(A66&lt;&gt; '控制台'!B4,B66&lt;&gt; '控制台'!B5,F66=""),"",DATE(VALUE(LEFT('控制台'!B5,4)),VALUE(RIGHT('控制台'!B5,2))+1,1)-1-F66)</f>
        <v/>
      </c>
      <c r="J66">
        <f>IF(OR(A66&lt;&gt; '控制台'!B4,B66&lt;&gt; '控制台'!B5,G66=""),"",MAX(0,DATE(VALUE(LEFT('控制台'!B5,4)),VALUE(RIGHT('控制台'!B5,2))+1,1)-1-G66))</f>
        <v/>
      </c>
      <c r="K66">
        <f>IF(A66="","",IF(AND(AND('控制台'!B4&lt;&gt;"",'控制台'!B5&lt;&gt;"",'控制台'!B4='刷新信息'!B6,'控制台'!B5='刷新信息'!B8),A66='控制台'!B4,B66='控制台'!B5,OR(C66="应收",C66="应付"),COUNTIFS('往来余额'!A5:A6000,C66,'往来余额'!B5:B6000,D66)=1,E66&lt;&gt;"",COUNTIFS(A$5:A$504,A66,B$5:B$504,B66,C$5:C$504,C66,D$5:D$504,D66,E$5:E$504,E66)=1,ISNUMBER(F66),I66&gt;=0,ISNUMBER(H66),H66&gt;=0),"纳入","待核实"))</f>
        <v/>
      </c>
    </row>
    <row r="67">
      <c r="A67" s="13" t="n"/>
      <c r="B67" s="13" t="n"/>
      <c r="C67" s="13" t="n"/>
      <c r="D67" s="13" t="n"/>
      <c r="E67" s="13" t="n"/>
      <c r="F67" s="19" t="n"/>
      <c r="G67" s="19" t="n"/>
      <c r="H67" s="15" t="n"/>
      <c r="I67">
        <f>IF(OR(A67&lt;&gt; '控制台'!B4,B67&lt;&gt; '控制台'!B5,F67=""),"",DATE(VALUE(LEFT('控制台'!B5,4)),VALUE(RIGHT('控制台'!B5,2))+1,1)-1-F67)</f>
        <v/>
      </c>
      <c r="J67">
        <f>IF(OR(A67&lt;&gt; '控制台'!B4,B67&lt;&gt; '控制台'!B5,G67=""),"",MAX(0,DATE(VALUE(LEFT('控制台'!B5,4)),VALUE(RIGHT('控制台'!B5,2))+1,1)-1-G67))</f>
        <v/>
      </c>
      <c r="K67">
        <f>IF(A67="","",IF(AND(AND('控制台'!B4&lt;&gt;"",'控制台'!B5&lt;&gt;"",'控制台'!B4='刷新信息'!B6,'控制台'!B5='刷新信息'!B8),A67='控制台'!B4,B67='控制台'!B5,OR(C67="应收",C67="应付"),COUNTIFS('往来余额'!A5:A6000,C67,'往来余额'!B5:B6000,D67)=1,E67&lt;&gt;"",COUNTIFS(A$5:A$504,A67,B$5:B$504,B67,C$5:C$504,C67,D$5:D$504,D67,E$5:E$504,E67)=1,ISNUMBER(F67),I67&gt;=0,ISNUMBER(H67),H67&gt;=0),"纳入","待核实"))</f>
        <v/>
      </c>
    </row>
    <row r="68">
      <c r="A68" s="13" t="n"/>
      <c r="B68" s="13" t="n"/>
      <c r="C68" s="13" t="n"/>
      <c r="D68" s="13" t="n"/>
      <c r="E68" s="13" t="n"/>
      <c r="F68" s="19" t="n"/>
      <c r="G68" s="19" t="n"/>
      <c r="H68" s="15" t="n"/>
      <c r="I68">
        <f>IF(OR(A68&lt;&gt; '控制台'!B4,B68&lt;&gt; '控制台'!B5,F68=""),"",DATE(VALUE(LEFT('控制台'!B5,4)),VALUE(RIGHT('控制台'!B5,2))+1,1)-1-F68)</f>
        <v/>
      </c>
      <c r="J68">
        <f>IF(OR(A68&lt;&gt; '控制台'!B4,B68&lt;&gt; '控制台'!B5,G68=""),"",MAX(0,DATE(VALUE(LEFT('控制台'!B5,4)),VALUE(RIGHT('控制台'!B5,2))+1,1)-1-G68))</f>
        <v/>
      </c>
      <c r="K68">
        <f>IF(A68="","",IF(AND(AND('控制台'!B4&lt;&gt;"",'控制台'!B5&lt;&gt;"",'控制台'!B4='刷新信息'!B6,'控制台'!B5='刷新信息'!B8),A68='控制台'!B4,B68='控制台'!B5,OR(C68="应收",C68="应付"),COUNTIFS('往来余额'!A5:A6000,C68,'往来余额'!B5:B6000,D68)=1,E68&lt;&gt;"",COUNTIFS(A$5:A$504,A68,B$5:B$504,B68,C$5:C$504,C68,D$5:D$504,D68,E$5:E$504,E68)=1,ISNUMBER(F68),I68&gt;=0,ISNUMBER(H68),H68&gt;=0),"纳入","待核实"))</f>
        <v/>
      </c>
    </row>
    <row r="69">
      <c r="A69" s="13" t="n"/>
      <c r="B69" s="13" t="n"/>
      <c r="C69" s="13" t="n"/>
      <c r="D69" s="13" t="n"/>
      <c r="E69" s="13" t="n"/>
      <c r="F69" s="19" t="n"/>
      <c r="G69" s="19" t="n"/>
      <c r="H69" s="15" t="n"/>
      <c r="I69">
        <f>IF(OR(A69&lt;&gt; '控制台'!B4,B69&lt;&gt; '控制台'!B5,F69=""),"",DATE(VALUE(LEFT('控制台'!B5,4)),VALUE(RIGHT('控制台'!B5,2))+1,1)-1-F69)</f>
        <v/>
      </c>
      <c r="J69">
        <f>IF(OR(A69&lt;&gt; '控制台'!B4,B69&lt;&gt; '控制台'!B5,G69=""),"",MAX(0,DATE(VALUE(LEFT('控制台'!B5,4)),VALUE(RIGHT('控制台'!B5,2))+1,1)-1-G69))</f>
        <v/>
      </c>
      <c r="K69">
        <f>IF(A69="","",IF(AND(AND('控制台'!B4&lt;&gt;"",'控制台'!B5&lt;&gt;"",'控制台'!B4='刷新信息'!B6,'控制台'!B5='刷新信息'!B8),A69='控制台'!B4,B69='控制台'!B5,OR(C69="应收",C69="应付"),COUNTIFS('往来余额'!A5:A6000,C69,'往来余额'!B5:B6000,D69)=1,E69&lt;&gt;"",COUNTIFS(A$5:A$504,A69,B$5:B$504,B69,C$5:C$504,C69,D$5:D$504,D69,E$5:E$504,E69)=1,ISNUMBER(F69),I69&gt;=0,ISNUMBER(H69),H69&gt;=0),"纳入","待核实"))</f>
        <v/>
      </c>
    </row>
    <row r="70">
      <c r="A70" s="13" t="n"/>
      <c r="B70" s="13" t="n"/>
      <c r="C70" s="13" t="n"/>
      <c r="D70" s="13" t="n"/>
      <c r="E70" s="13" t="n"/>
      <c r="F70" s="19" t="n"/>
      <c r="G70" s="19" t="n"/>
      <c r="H70" s="15" t="n"/>
      <c r="I70">
        <f>IF(OR(A70&lt;&gt; '控制台'!B4,B70&lt;&gt; '控制台'!B5,F70=""),"",DATE(VALUE(LEFT('控制台'!B5,4)),VALUE(RIGHT('控制台'!B5,2))+1,1)-1-F70)</f>
        <v/>
      </c>
      <c r="J70">
        <f>IF(OR(A70&lt;&gt; '控制台'!B4,B70&lt;&gt; '控制台'!B5,G70=""),"",MAX(0,DATE(VALUE(LEFT('控制台'!B5,4)),VALUE(RIGHT('控制台'!B5,2))+1,1)-1-G70))</f>
        <v/>
      </c>
      <c r="K70">
        <f>IF(A70="","",IF(AND(AND('控制台'!B4&lt;&gt;"",'控制台'!B5&lt;&gt;"",'控制台'!B4='刷新信息'!B6,'控制台'!B5='刷新信息'!B8),A70='控制台'!B4,B70='控制台'!B5,OR(C70="应收",C70="应付"),COUNTIFS('往来余额'!A5:A6000,C70,'往来余额'!B5:B6000,D70)=1,E70&lt;&gt;"",COUNTIFS(A$5:A$504,A70,B$5:B$504,B70,C$5:C$504,C70,D$5:D$504,D70,E$5:E$504,E70)=1,ISNUMBER(F70),I70&gt;=0,ISNUMBER(H70),H70&gt;=0),"纳入","待核实"))</f>
        <v/>
      </c>
    </row>
    <row r="71">
      <c r="A71" s="13" t="n"/>
      <c r="B71" s="13" t="n"/>
      <c r="C71" s="13" t="n"/>
      <c r="D71" s="13" t="n"/>
      <c r="E71" s="13" t="n"/>
      <c r="F71" s="19" t="n"/>
      <c r="G71" s="19" t="n"/>
      <c r="H71" s="15" t="n"/>
      <c r="I71">
        <f>IF(OR(A71&lt;&gt; '控制台'!B4,B71&lt;&gt; '控制台'!B5,F71=""),"",DATE(VALUE(LEFT('控制台'!B5,4)),VALUE(RIGHT('控制台'!B5,2))+1,1)-1-F71)</f>
        <v/>
      </c>
      <c r="J71">
        <f>IF(OR(A71&lt;&gt; '控制台'!B4,B71&lt;&gt; '控制台'!B5,G71=""),"",MAX(0,DATE(VALUE(LEFT('控制台'!B5,4)),VALUE(RIGHT('控制台'!B5,2))+1,1)-1-G71))</f>
        <v/>
      </c>
      <c r="K71">
        <f>IF(A71="","",IF(AND(AND('控制台'!B4&lt;&gt;"",'控制台'!B5&lt;&gt;"",'控制台'!B4='刷新信息'!B6,'控制台'!B5='刷新信息'!B8),A71='控制台'!B4,B71='控制台'!B5,OR(C71="应收",C71="应付"),COUNTIFS('往来余额'!A5:A6000,C71,'往来余额'!B5:B6000,D71)=1,E71&lt;&gt;"",COUNTIFS(A$5:A$504,A71,B$5:B$504,B71,C$5:C$504,C71,D$5:D$504,D71,E$5:E$504,E71)=1,ISNUMBER(F71),I71&gt;=0,ISNUMBER(H71),H71&gt;=0),"纳入","待核实"))</f>
        <v/>
      </c>
    </row>
    <row r="72">
      <c r="A72" s="13" t="n"/>
      <c r="B72" s="13" t="n"/>
      <c r="C72" s="13" t="n"/>
      <c r="D72" s="13" t="n"/>
      <c r="E72" s="13" t="n"/>
      <c r="F72" s="19" t="n"/>
      <c r="G72" s="19" t="n"/>
      <c r="H72" s="15" t="n"/>
      <c r="I72">
        <f>IF(OR(A72&lt;&gt; '控制台'!B4,B72&lt;&gt; '控制台'!B5,F72=""),"",DATE(VALUE(LEFT('控制台'!B5,4)),VALUE(RIGHT('控制台'!B5,2))+1,1)-1-F72)</f>
        <v/>
      </c>
      <c r="J72">
        <f>IF(OR(A72&lt;&gt; '控制台'!B4,B72&lt;&gt; '控制台'!B5,G72=""),"",MAX(0,DATE(VALUE(LEFT('控制台'!B5,4)),VALUE(RIGHT('控制台'!B5,2))+1,1)-1-G72))</f>
        <v/>
      </c>
      <c r="K72">
        <f>IF(A72="","",IF(AND(AND('控制台'!B4&lt;&gt;"",'控制台'!B5&lt;&gt;"",'控制台'!B4='刷新信息'!B6,'控制台'!B5='刷新信息'!B8),A72='控制台'!B4,B72='控制台'!B5,OR(C72="应收",C72="应付"),COUNTIFS('往来余额'!A5:A6000,C72,'往来余额'!B5:B6000,D72)=1,E72&lt;&gt;"",COUNTIFS(A$5:A$504,A72,B$5:B$504,B72,C$5:C$504,C72,D$5:D$504,D72,E$5:E$504,E72)=1,ISNUMBER(F72),I72&gt;=0,ISNUMBER(H72),H72&gt;=0),"纳入","待核实"))</f>
        <v/>
      </c>
    </row>
    <row r="73">
      <c r="A73" s="13" t="n"/>
      <c r="B73" s="13" t="n"/>
      <c r="C73" s="13" t="n"/>
      <c r="D73" s="13" t="n"/>
      <c r="E73" s="13" t="n"/>
      <c r="F73" s="19" t="n"/>
      <c r="G73" s="19" t="n"/>
      <c r="H73" s="15" t="n"/>
      <c r="I73">
        <f>IF(OR(A73&lt;&gt; '控制台'!B4,B73&lt;&gt; '控制台'!B5,F73=""),"",DATE(VALUE(LEFT('控制台'!B5,4)),VALUE(RIGHT('控制台'!B5,2))+1,1)-1-F73)</f>
        <v/>
      </c>
      <c r="J73">
        <f>IF(OR(A73&lt;&gt; '控制台'!B4,B73&lt;&gt; '控制台'!B5,G73=""),"",MAX(0,DATE(VALUE(LEFT('控制台'!B5,4)),VALUE(RIGHT('控制台'!B5,2))+1,1)-1-G73))</f>
        <v/>
      </c>
      <c r="K73">
        <f>IF(A73="","",IF(AND(AND('控制台'!B4&lt;&gt;"",'控制台'!B5&lt;&gt;"",'控制台'!B4='刷新信息'!B6,'控制台'!B5='刷新信息'!B8),A73='控制台'!B4,B73='控制台'!B5,OR(C73="应收",C73="应付"),COUNTIFS('往来余额'!A5:A6000,C73,'往来余额'!B5:B6000,D73)=1,E73&lt;&gt;"",COUNTIFS(A$5:A$504,A73,B$5:B$504,B73,C$5:C$504,C73,D$5:D$504,D73,E$5:E$504,E73)=1,ISNUMBER(F73),I73&gt;=0,ISNUMBER(H73),H73&gt;=0),"纳入","待核实"))</f>
        <v/>
      </c>
    </row>
    <row r="74">
      <c r="A74" s="13" t="n"/>
      <c r="B74" s="13" t="n"/>
      <c r="C74" s="13" t="n"/>
      <c r="D74" s="13" t="n"/>
      <c r="E74" s="13" t="n"/>
      <c r="F74" s="19" t="n"/>
      <c r="G74" s="19" t="n"/>
      <c r="H74" s="15" t="n"/>
      <c r="I74">
        <f>IF(OR(A74&lt;&gt; '控制台'!B4,B74&lt;&gt; '控制台'!B5,F74=""),"",DATE(VALUE(LEFT('控制台'!B5,4)),VALUE(RIGHT('控制台'!B5,2))+1,1)-1-F74)</f>
        <v/>
      </c>
      <c r="J74">
        <f>IF(OR(A74&lt;&gt; '控制台'!B4,B74&lt;&gt; '控制台'!B5,G74=""),"",MAX(0,DATE(VALUE(LEFT('控制台'!B5,4)),VALUE(RIGHT('控制台'!B5,2))+1,1)-1-G74))</f>
        <v/>
      </c>
      <c r="K74">
        <f>IF(A74="","",IF(AND(AND('控制台'!B4&lt;&gt;"",'控制台'!B5&lt;&gt;"",'控制台'!B4='刷新信息'!B6,'控制台'!B5='刷新信息'!B8),A74='控制台'!B4,B74='控制台'!B5,OR(C74="应收",C74="应付"),COUNTIFS('往来余额'!A5:A6000,C74,'往来余额'!B5:B6000,D74)=1,E74&lt;&gt;"",COUNTIFS(A$5:A$504,A74,B$5:B$504,B74,C$5:C$504,C74,D$5:D$504,D74,E$5:E$504,E74)=1,ISNUMBER(F74),I74&gt;=0,ISNUMBER(H74),H74&gt;=0),"纳入","待核实"))</f>
        <v/>
      </c>
    </row>
    <row r="75">
      <c r="A75" s="13" t="n"/>
      <c r="B75" s="13" t="n"/>
      <c r="C75" s="13" t="n"/>
      <c r="D75" s="13" t="n"/>
      <c r="E75" s="13" t="n"/>
      <c r="F75" s="19" t="n"/>
      <c r="G75" s="19" t="n"/>
      <c r="H75" s="15" t="n"/>
      <c r="I75">
        <f>IF(OR(A75&lt;&gt; '控制台'!B4,B75&lt;&gt; '控制台'!B5,F75=""),"",DATE(VALUE(LEFT('控制台'!B5,4)),VALUE(RIGHT('控制台'!B5,2))+1,1)-1-F75)</f>
        <v/>
      </c>
      <c r="J75">
        <f>IF(OR(A75&lt;&gt; '控制台'!B4,B75&lt;&gt; '控制台'!B5,G75=""),"",MAX(0,DATE(VALUE(LEFT('控制台'!B5,4)),VALUE(RIGHT('控制台'!B5,2))+1,1)-1-G75))</f>
        <v/>
      </c>
      <c r="K75">
        <f>IF(A75="","",IF(AND(AND('控制台'!B4&lt;&gt;"",'控制台'!B5&lt;&gt;"",'控制台'!B4='刷新信息'!B6,'控制台'!B5='刷新信息'!B8),A75='控制台'!B4,B75='控制台'!B5,OR(C75="应收",C75="应付"),COUNTIFS('往来余额'!A5:A6000,C75,'往来余额'!B5:B6000,D75)=1,E75&lt;&gt;"",COUNTIFS(A$5:A$504,A75,B$5:B$504,B75,C$5:C$504,C75,D$5:D$504,D75,E$5:E$504,E75)=1,ISNUMBER(F75),I75&gt;=0,ISNUMBER(H75),H75&gt;=0),"纳入","待核实"))</f>
        <v/>
      </c>
    </row>
    <row r="76">
      <c r="A76" s="13" t="n"/>
      <c r="B76" s="13" t="n"/>
      <c r="C76" s="13" t="n"/>
      <c r="D76" s="13" t="n"/>
      <c r="E76" s="13" t="n"/>
      <c r="F76" s="19" t="n"/>
      <c r="G76" s="19" t="n"/>
      <c r="H76" s="15" t="n"/>
      <c r="I76">
        <f>IF(OR(A76&lt;&gt; '控制台'!B4,B76&lt;&gt; '控制台'!B5,F76=""),"",DATE(VALUE(LEFT('控制台'!B5,4)),VALUE(RIGHT('控制台'!B5,2))+1,1)-1-F76)</f>
        <v/>
      </c>
      <c r="J76">
        <f>IF(OR(A76&lt;&gt; '控制台'!B4,B76&lt;&gt; '控制台'!B5,G76=""),"",MAX(0,DATE(VALUE(LEFT('控制台'!B5,4)),VALUE(RIGHT('控制台'!B5,2))+1,1)-1-G76))</f>
        <v/>
      </c>
      <c r="K76">
        <f>IF(A76="","",IF(AND(AND('控制台'!B4&lt;&gt;"",'控制台'!B5&lt;&gt;"",'控制台'!B4='刷新信息'!B6,'控制台'!B5='刷新信息'!B8),A76='控制台'!B4,B76='控制台'!B5,OR(C76="应收",C76="应付"),COUNTIFS('往来余额'!A5:A6000,C76,'往来余额'!B5:B6000,D76)=1,E76&lt;&gt;"",COUNTIFS(A$5:A$504,A76,B$5:B$504,B76,C$5:C$504,C76,D$5:D$504,D76,E$5:E$504,E76)=1,ISNUMBER(F76),I76&gt;=0,ISNUMBER(H76),H76&gt;=0),"纳入","待核实"))</f>
        <v/>
      </c>
    </row>
    <row r="77">
      <c r="A77" s="13" t="n"/>
      <c r="B77" s="13" t="n"/>
      <c r="C77" s="13" t="n"/>
      <c r="D77" s="13" t="n"/>
      <c r="E77" s="13" t="n"/>
      <c r="F77" s="19" t="n"/>
      <c r="G77" s="19" t="n"/>
      <c r="H77" s="15" t="n"/>
      <c r="I77">
        <f>IF(OR(A77&lt;&gt; '控制台'!B4,B77&lt;&gt; '控制台'!B5,F77=""),"",DATE(VALUE(LEFT('控制台'!B5,4)),VALUE(RIGHT('控制台'!B5,2))+1,1)-1-F77)</f>
        <v/>
      </c>
      <c r="J77">
        <f>IF(OR(A77&lt;&gt; '控制台'!B4,B77&lt;&gt; '控制台'!B5,G77=""),"",MAX(0,DATE(VALUE(LEFT('控制台'!B5,4)),VALUE(RIGHT('控制台'!B5,2))+1,1)-1-G77))</f>
        <v/>
      </c>
      <c r="K77">
        <f>IF(A77="","",IF(AND(AND('控制台'!B4&lt;&gt;"",'控制台'!B5&lt;&gt;"",'控制台'!B4='刷新信息'!B6,'控制台'!B5='刷新信息'!B8),A77='控制台'!B4,B77='控制台'!B5,OR(C77="应收",C77="应付"),COUNTIFS('往来余额'!A5:A6000,C77,'往来余额'!B5:B6000,D77)=1,E77&lt;&gt;"",COUNTIFS(A$5:A$504,A77,B$5:B$504,B77,C$5:C$504,C77,D$5:D$504,D77,E$5:E$504,E77)=1,ISNUMBER(F77),I77&gt;=0,ISNUMBER(H77),H77&gt;=0),"纳入","待核实"))</f>
        <v/>
      </c>
    </row>
    <row r="78">
      <c r="A78" s="13" t="n"/>
      <c r="B78" s="13" t="n"/>
      <c r="C78" s="13" t="n"/>
      <c r="D78" s="13" t="n"/>
      <c r="E78" s="13" t="n"/>
      <c r="F78" s="19" t="n"/>
      <c r="G78" s="19" t="n"/>
      <c r="H78" s="15" t="n"/>
      <c r="I78">
        <f>IF(OR(A78&lt;&gt; '控制台'!B4,B78&lt;&gt; '控制台'!B5,F78=""),"",DATE(VALUE(LEFT('控制台'!B5,4)),VALUE(RIGHT('控制台'!B5,2))+1,1)-1-F78)</f>
        <v/>
      </c>
      <c r="J78">
        <f>IF(OR(A78&lt;&gt; '控制台'!B4,B78&lt;&gt; '控制台'!B5,G78=""),"",MAX(0,DATE(VALUE(LEFT('控制台'!B5,4)),VALUE(RIGHT('控制台'!B5,2))+1,1)-1-G78))</f>
        <v/>
      </c>
      <c r="K78">
        <f>IF(A78="","",IF(AND(AND('控制台'!B4&lt;&gt;"",'控制台'!B5&lt;&gt;"",'控制台'!B4='刷新信息'!B6,'控制台'!B5='刷新信息'!B8),A78='控制台'!B4,B78='控制台'!B5,OR(C78="应收",C78="应付"),COUNTIFS('往来余额'!A5:A6000,C78,'往来余额'!B5:B6000,D78)=1,E78&lt;&gt;"",COUNTIFS(A$5:A$504,A78,B$5:B$504,B78,C$5:C$504,C78,D$5:D$504,D78,E$5:E$504,E78)=1,ISNUMBER(F78),I78&gt;=0,ISNUMBER(H78),H78&gt;=0),"纳入","待核实"))</f>
        <v/>
      </c>
    </row>
    <row r="79">
      <c r="A79" s="13" t="n"/>
      <c r="B79" s="13" t="n"/>
      <c r="C79" s="13" t="n"/>
      <c r="D79" s="13" t="n"/>
      <c r="E79" s="13" t="n"/>
      <c r="F79" s="19" t="n"/>
      <c r="G79" s="19" t="n"/>
      <c r="H79" s="15" t="n"/>
      <c r="I79">
        <f>IF(OR(A79&lt;&gt; '控制台'!B4,B79&lt;&gt; '控制台'!B5,F79=""),"",DATE(VALUE(LEFT('控制台'!B5,4)),VALUE(RIGHT('控制台'!B5,2))+1,1)-1-F79)</f>
        <v/>
      </c>
      <c r="J79">
        <f>IF(OR(A79&lt;&gt; '控制台'!B4,B79&lt;&gt; '控制台'!B5,G79=""),"",MAX(0,DATE(VALUE(LEFT('控制台'!B5,4)),VALUE(RIGHT('控制台'!B5,2))+1,1)-1-G79))</f>
        <v/>
      </c>
      <c r="K79">
        <f>IF(A79="","",IF(AND(AND('控制台'!B4&lt;&gt;"",'控制台'!B5&lt;&gt;"",'控制台'!B4='刷新信息'!B6,'控制台'!B5='刷新信息'!B8),A79='控制台'!B4,B79='控制台'!B5,OR(C79="应收",C79="应付"),COUNTIFS('往来余额'!A5:A6000,C79,'往来余额'!B5:B6000,D79)=1,E79&lt;&gt;"",COUNTIFS(A$5:A$504,A79,B$5:B$504,B79,C$5:C$504,C79,D$5:D$504,D79,E$5:E$504,E79)=1,ISNUMBER(F79),I79&gt;=0,ISNUMBER(H79),H79&gt;=0),"纳入","待核实"))</f>
        <v/>
      </c>
    </row>
    <row r="80">
      <c r="A80" s="13" t="n"/>
      <c r="B80" s="13" t="n"/>
      <c r="C80" s="13" t="n"/>
      <c r="D80" s="13" t="n"/>
      <c r="E80" s="13" t="n"/>
      <c r="F80" s="19" t="n"/>
      <c r="G80" s="19" t="n"/>
      <c r="H80" s="15" t="n"/>
      <c r="I80">
        <f>IF(OR(A80&lt;&gt; '控制台'!B4,B80&lt;&gt; '控制台'!B5,F80=""),"",DATE(VALUE(LEFT('控制台'!B5,4)),VALUE(RIGHT('控制台'!B5,2))+1,1)-1-F80)</f>
        <v/>
      </c>
      <c r="J80">
        <f>IF(OR(A80&lt;&gt; '控制台'!B4,B80&lt;&gt; '控制台'!B5,G80=""),"",MAX(0,DATE(VALUE(LEFT('控制台'!B5,4)),VALUE(RIGHT('控制台'!B5,2))+1,1)-1-G80))</f>
        <v/>
      </c>
      <c r="K80">
        <f>IF(A80="","",IF(AND(AND('控制台'!B4&lt;&gt;"",'控制台'!B5&lt;&gt;"",'控制台'!B4='刷新信息'!B6,'控制台'!B5='刷新信息'!B8),A80='控制台'!B4,B80='控制台'!B5,OR(C80="应收",C80="应付"),COUNTIFS('往来余额'!A5:A6000,C80,'往来余额'!B5:B6000,D80)=1,E80&lt;&gt;"",COUNTIFS(A$5:A$504,A80,B$5:B$504,B80,C$5:C$504,C80,D$5:D$504,D80,E$5:E$504,E80)=1,ISNUMBER(F80),I80&gt;=0,ISNUMBER(H80),H80&gt;=0),"纳入","待核实"))</f>
        <v/>
      </c>
    </row>
    <row r="81">
      <c r="A81" s="13" t="n"/>
      <c r="B81" s="13" t="n"/>
      <c r="C81" s="13" t="n"/>
      <c r="D81" s="13" t="n"/>
      <c r="E81" s="13" t="n"/>
      <c r="F81" s="19" t="n"/>
      <c r="G81" s="19" t="n"/>
      <c r="H81" s="15" t="n"/>
      <c r="I81">
        <f>IF(OR(A81&lt;&gt; '控制台'!B4,B81&lt;&gt; '控制台'!B5,F81=""),"",DATE(VALUE(LEFT('控制台'!B5,4)),VALUE(RIGHT('控制台'!B5,2))+1,1)-1-F81)</f>
        <v/>
      </c>
      <c r="J81">
        <f>IF(OR(A81&lt;&gt; '控制台'!B4,B81&lt;&gt; '控制台'!B5,G81=""),"",MAX(0,DATE(VALUE(LEFT('控制台'!B5,4)),VALUE(RIGHT('控制台'!B5,2))+1,1)-1-G81))</f>
        <v/>
      </c>
      <c r="K81">
        <f>IF(A81="","",IF(AND(AND('控制台'!B4&lt;&gt;"",'控制台'!B5&lt;&gt;"",'控制台'!B4='刷新信息'!B6,'控制台'!B5='刷新信息'!B8),A81='控制台'!B4,B81='控制台'!B5,OR(C81="应收",C81="应付"),COUNTIFS('往来余额'!A5:A6000,C81,'往来余额'!B5:B6000,D81)=1,E81&lt;&gt;"",COUNTIFS(A$5:A$504,A81,B$5:B$504,B81,C$5:C$504,C81,D$5:D$504,D81,E$5:E$504,E81)=1,ISNUMBER(F81),I81&gt;=0,ISNUMBER(H81),H81&gt;=0),"纳入","待核实"))</f>
        <v/>
      </c>
    </row>
    <row r="82">
      <c r="A82" s="13" t="n"/>
      <c r="B82" s="13" t="n"/>
      <c r="C82" s="13" t="n"/>
      <c r="D82" s="13" t="n"/>
      <c r="E82" s="13" t="n"/>
      <c r="F82" s="19" t="n"/>
      <c r="G82" s="19" t="n"/>
      <c r="H82" s="15" t="n"/>
      <c r="I82">
        <f>IF(OR(A82&lt;&gt; '控制台'!B4,B82&lt;&gt; '控制台'!B5,F82=""),"",DATE(VALUE(LEFT('控制台'!B5,4)),VALUE(RIGHT('控制台'!B5,2))+1,1)-1-F82)</f>
        <v/>
      </c>
      <c r="J82">
        <f>IF(OR(A82&lt;&gt; '控制台'!B4,B82&lt;&gt; '控制台'!B5,G82=""),"",MAX(0,DATE(VALUE(LEFT('控制台'!B5,4)),VALUE(RIGHT('控制台'!B5,2))+1,1)-1-G82))</f>
        <v/>
      </c>
      <c r="K82">
        <f>IF(A82="","",IF(AND(AND('控制台'!B4&lt;&gt;"",'控制台'!B5&lt;&gt;"",'控制台'!B4='刷新信息'!B6,'控制台'!B5='刷新信息'!B8),A82='控制台'!B4,B82='控制台'!B5,OR(C82="应收",C82="应付"),COUNTIFS('往来余额'!A5:A6000,C82,'往来余额'!B5:B6000,D82)=1,E82&lt;&gt;"",COUNTIFS(A$5:A$504,A82,B$5:B$504,B82,C$5:C$504,C82,D$5:D$504,D82,E$5:E$504,E82)=1,ISNUMBER(F82),I82&gt;=0,ISNUMBER(H82),H82&gt;=0),"纳入","待核实"))</f>
        <v/>
      </c>
    </row>
    <row r="83">
      <c r="A83" s="13" t="n"/>
      <c r="B83" s="13" t="n"/>
      <c r="C83" s="13" t="n"/>
      <c r="D83" s="13" t="n"/>
      <c r="E83" s="13" t="n"/>
      <c r="F83" s="19" t="n"/>
      <c r="G83" s="19" t="n"/>
      <c r="H83" s="15" t="n"/>
      <c r="I83">
        <f>IF(OR(A83&lt;&gt; '控制台'!B4,B83&lt;&gt; '控制台'!B5,F83=""),"",DATE(VALUE(LEFT('控制台'!B5,4)),VALUE(RIGHT('控制台'!B5,2))+1,1)-1-F83)</f>
        <v/>
      </c>
      <c r="J83">
        <f>IF(OR(A83&lt;&gt; '控制台'!B4,B83&lt;&gt; '控制台'!B5,G83=""),"",MAX(0,DATE(VALUE(LEFT('控制台'!B5,4)),VALUE(RIGHT('控制台'!B5,2))+1,1)-1-G83))</f>
        <v/>
      </c>
      <c r="K83">
        <f>IF(A83="","",IF(AND(AND('控制台'!B4&lt;&gt;"",'控制台'!B5&lt;&gt;"",'控制台'!B4='刷新信息'!B6,'控制台'!B5='刷新信息'!B8),A83='控制台'!B4,B83='控制台'!B5,OR(C83="应收",C83="应付"),COUNTIFS('往来余额'!A5:A6000,C83,'往来余额'!B5:B6000,D83)=1,E83&lt;&gt;"",COUNTIFS(A$5:A$504,A83,B$5:B$504,B83,C$5:C$504,C83,D$5:D$504,D83,E$5:E$504,E83)=1,ISNUMBER(F83),I83&gt;=0,ISNUMBER(H83),H83&gt;=0),"纳入","待核实"))</f>
        <v/>
      </c>
    </row>
    <row r="84">
      <c r="A84" s="13" t="n"/>
      <c r="B84" s="13" t="n"/>
      <c r="C84" s="13" t="n"/>
      <c r="D84" s="13" t="n"/>
      <c r="E84" s="13" t="n"/>
      <c r="F84" s="19" t="n"/>
      <c r="G84" s="19" t="n"/>
      <c r="H84" s="15" t="n"/>
      <c r="I84">
        <f>IF(OR(A84&lt;&gt; '控制台'!B4,B84&lt;&gt; '控制台'!B5,F84=""),"",DATE(VALUE(LEFT('控制台'!B5,4)),VALUE(RIGHT('控制台'!B5,2))+1,1)-1-F84)</f>
        <v/>
      </c>
      <c r="J84">
        <f>IF(OR(A84&lt;&gt; '控制台'!B4,B84&lt;&gt; '控制台'!B5,G84=""),"",MAX(0,DATE(VALUE(LEFT('控制台'!B5,4)),VALUE(RIGHT('控制台'!B5,2))+1,1)-1-G84))</f>
        <v/>
      </c>
      <c r="K84">
        <f>IF(A84="","",IF(AND(AND('控制台'!B4&lt;&gt;"",'控制台'!B5&lt;&gt;"",'控制台'!B4='刷新信息'!B6,'控制台'!B5='刷新信息'!B8),A84='控制台'!B4,B84='控制台'!B5,OR(C84="应收",C84="应付"),COUNTIFS('往来余额'!A5:A6000,C84,'往来余额'!B5:B6000,D84)=1,E84&lt;&gt;"",COUNTIFS(A$5:A$504,A84,B$5:B$504,B84,C$5:C$504,C84,D$5:D$504,D84,E$5:E$504,E84)=1,ISNUMBER(F84),I84&gt;=0,ISNUMBER(H84),H84&gt;=0),"纳入","待核实"))</f>
        <v/>
      </c>
    </row>
    <row r="85">
      <c r="A85" s="13" t="n"/>
      <c r="B85" s="13" t="n"/>
      <c r="C85" s="13" t="n"/>
      <c r="D85" s="13" t="n"/>
      <c r="E85" s="13" t="n"/>
      <c r="F85" s="19" t="n"/>
      <c r="G85" s="19" t="n"/>
      <c r="H85" s="15" t="n"/>
      <c r="I85">
        <f>IF(OR(A85&lt;&gt; '控制台'!B4,B85&lt;&gt; '控制台'!B5,F85=""),"",DATE(VALUE(LEFT('控制台'!B5,4)),VALUE(RIGHT('控制台'!B5,2))+1,1)-1-F85)</f>
        <v/>
      </c>
      <c r="J85">
        <f>IF(OR(A85&lt;&gt; '控制台'!B4,B85&lt;&gt; '控制台'!B5,G85=""),"",MAX(0,DATE(VALUE(LEFT('控制台'!B5,4)),VALUE(RIGHT('控制台'!B5,2))+1,1)-1-G85))</f>
        <v/>
      </c>
      <c r="K85">
        <f>IF(A85="","",IF(AND(AND('控制台'!B4&lt;&gt;"",'控制台'!B5&lt;&gt;"",'控制台'!B4='刷新信息'!B6,'控制台'!B5='刷新信息'!B8),A85='控制台'!B4,B85='控制台'!B5,OR(C85="应收",C85="应付"),COUNTIFS('往来余额'!A5:A6000,C85,'往来余额'!B5:B6000,D85)=1,E85&lt;&gt;"",COUNTIFS(A$5:A$504,A85,B$5:B$504,B85,C$5:C$504,C85,D$5:D$504,D85,E$5:E$504,E85)=1,ISNUMBER(F85),I85&gt;=0,ISNUMBER(H85),H85&gt;=0),"纳入","待核实"))</f>
        <v/>
      </c>
    </row>
    <row r="86">
      <c r="A86" s="13" t="n"/>
      <c r="B86" s="13" t="n"/>
      <c r="C86" s="13" t="n"/>
      <c r="D86" s="13" t="n"/>
      <c r="E86" s="13" t="n"/>
      <c r="F86" s="19" t="n"/>
      <c r="G86" s="19" t="n"/>
      <c r="H86" s="15" t="n"/>
      <c r="I86">
        <f>IF(OR(A86&lt;&gt; '控制台'!B4,B86&lt;&gt; '控制台'!B5,F86=""),"",DATE(VALUE(LEFT('控制台'!B5,4)),VALUE(RIGHT('控制台'!B5,2))+1,1)-1-F86)</f>
        <v/>
      </c>
      <c r="J86">
        <f>IF(OR(A86&lt;&gt; '控制台'!B4,B86&lt;&gt; '控制台'!B5,G86=""),"",MAX(0,DATE(VALUE(LEFT('控制台'!B5,4)),VALUE(RIGHT('控制台'!B5,2))+1,1)-1-G86))</f>
        <v/>
      </c>
      <c r="K86">
        <f>IF(A86="","",IF(AND(AND('控制台'!B4&lt;&gt;"",'控制台'!B5&lt;&gt;"",'控制台'!B4='刷新信息'!B6,'控制台'!B5='刷新信息'!B8),A86='控制台'!B4,B86='控制台'!B5,OR(C86="应收",C86="应付"),COUNTIFS('往来余额'!A5:A6000,C86,'往来余额'!B5:B6000,D86)=1,E86&lt;&gt;"",COUNTIFS(A$5:A$504,A86,B$5:B$504,B86,C$5:C$504,C86,D$5:D$504,D86,E$5:E$504,E86)=1,ISNUMBER(F86),I86&gt;=0,ISNUMBER(H86),H86&gt;=0),"纳入","待核实"))</f>
        <v/>
      </c>
    </row>
    <row r="87">
      <c r="A87" s="13" t="n"/>
      <c r="B87" s="13" t="n"/>
      <c r="C87" s="13" t="n"/>
      <c r="D87" s="13" t="n"/>
      <c r="E87" s="13" t="n"/>
      <c r="F87" s="19" t="n"/>
      <c r="G87" s="19" t="n"/>
      <c r="H87" s="15" t="n"/>
      <c r="I87">
        <f>IF(OR(A87&lt;&gt; '控制台'!B4,B87&lt;&gt; '控制台'!B5,F87=""),"",DATE(VALUE(LEFT('控制台'!B5,4)),VALUE(RIGHT('控制台'!B5,2))+1,1)-1-F87)</f>
        <v/>
      </c>
      <c r="J87">
        <f>IF(OR(A87&lt;&gt; '控制台'!B4,B87&lt;&gt; '控制台'!B5,G87=""),"",MAX(0,DATE(VALUE(LEFT('控制台'!B5,4)),VALUE(RIGHT('控制台'!B5,2))+1,1)-1-G87))</f>
        <v/>
      </c>
      <c r="K87">
        <f>IF(A87="","",IF(AND(AND('控制台'!B4&lt;&gt;"",'控制台'!B5&lt;&gt;"",'控制台'!B4='刷新信息'!B6,'控制台'!B5='刷新信息'!B8),A87='控制台'!B4,B87='控制台'!B5,OR(C87="应收",C87="应付"),COUNTIFS('往来余额'!A5:A6000,C87,'往来余额'!B5:B6000,D87)=1,E87&lt;&gt;"",COUNTIFS(A$5:A$504,A87,B$5:B$504,B87,C$5:C$504,C87,D$5:D$504,D87,E$5:E$504,E87)=1,ISNUMBER(F87),I87&gt;=0,ISNUMBER(H87),H87&gt;=0),"纳入","待核实"))</f>
        <v/>
      </c>
    </row>
    <row r="88">
      <c r="A88" s="13" t="n"/>
      <c r="B88" s="13" t="n"/>
      <c r="C88" s="13" t="n"/>
      <c r="D88" s="13" t="n"/>
      <c r="E88" s="13" t="n"/>
      <c r="F88" s="19" t="n"/>
      <c r="G88" s="19" t="n"/>
      <c r="H88" s="15" t="n"/>
      <c r="I88">
        <f>IF(OR(A88&lt;&gt; '控制台'!B4,B88&lt;&gt; '控制台'!B5,F88=""),"",DATE(VALUE(LEFT('控制台'!B5,4)),VALUE(RIGHT('控制台'!B5,2))+1,1)-1-F88)</f>
        <v/>
      </c>
      <c r="J88">
        <f>IF(OR(A88&lt;&gt; '控制台'!B4,B88&lt;&gt; '控制台'!B5,G88=""),"",MAX(0,DATE(VALUE(LEFT('控制台'!B5,4)),VALUE(RIGHT('控制台'!B5,2))+1,1)-1-G88))</f>
        <v/>
      </c>
      <c r="K88">
        <f>IF(A88="","",IF(AND(AND('控制台'!B4&lt;&gt;"",'控制台'!B5&lt;&gt;"",'控制台'!B4='刷新信息'!B6,'控制台'!B5='刷新信息'!B8),A88='控制台'!B4,B88='控制台'!B5,OR(C88="应收",C88="应付"),COUNTIFS('往来余额'!A5:A6000,C88,'往来余额'!B5:B6000,D88)=1,E88&lt;&gt;"",COUNTIFS(A$5:A$504,A88,B$5:B$504,B88,C$5:C$504,C88,D$5:D$504,D88,E$5:E$504,E88)=1,ISNUMBER(F88),I88&gt;=0,ISNUMBER(H88),H88&gt;=0),"纳入","待核实"))</f>
        <v/>
      </c>
    </row>
    <row r="89">
      <c r="A89" s="13" t="n"/>
      <c r="B89" s="13" t="n"/>
      <c r="C89" s="13" t="n"/>
      <c r="D89" s="13" t="n"/>
      <c r="E89" s="13" t="n"/>
      <c r="F89" s="19" t="n"/>
      <c r="G89" s="19" t="n"/>
      <c r="H89" s="15" t="n"/>
      <c r="I89">
        <f>IF(OR(A89&lt;&gt; '控制台'!B4,B89&lt;&gt; '控制台'!B5,F89=""),"",DATE(VALUE(LEFT('控制台'!B5,4)),VALUE(RIGHT('控制台'!B5,2))+1,1)-1-F89)</f>
        <v/>
      </c>
      <c r="J89">
        <f>IF(OR(A89&lt;&gt; '控制台'!B4,B89&lt;&gt; '控制台'!B5,G89=""),"",MAX(0,DATE(VALUE(LEFT('控制台'!B5,4)),VALUE(RIGHT('控制台'!B5,2))+1,1)-1-G89))</f>
        <v/>
      </c>
      <c r="K89">
        <f>IF(A89="","",IF(AND(AND('控制台'!B4&lt;&gt;"",'控制台'!B5&lt;&gt;"",'控制台'!B4='刷新信息'!B6,'控制台'!B5='刷新信息'!B8),A89='控制台'!B4,B89='控制台'!B5,OR(C89="应收",C89="应付"),COUNTIFS('往来余额'!A5:A6000,C89,'往来余额'!B5:B6000,D89)=1,E89&lt;&gt;"",COUNTIFS(A$5:A$504,A89,B$5:B$504,B89,C$5:C$504,C89,D$5:D$504,D89,E$5:E$504,E89)=1,ISNUMBER(F89),I89&gt;=0,ISNUMBER(H89),H89&gt;=0),"纳入","待核实"))</f>
        <v/>
      </c>
    </row>
    <row r="90">
      <c r="A90" s="13" t="n"/>
      <c r="B90" s="13" t="n"/>
      <c r="C90" s="13" t="n"/>
      <c r="D90" s="13" t="n"/>
      <c r="E90" s="13" t="n"/>
      <c r="F90" s="19" t="n"/>
      <c r="G90" s="19" t="n"/>
      <c r="H90" s="15" t="n"/>
      <c r="I90">
        <f>IF(OR(A90&lt;&gt; '控制台'!B4,B90&lt;&gt; '控制台'!B5,F90=""),"",DATE(VALUE(LEFT('控制台'!B5,4)),VALUE(RIGHT('控制台'!B5,2))+1,1)-1-F90)</f>
        <v/>
      </c>
      <c r="J90">
        <f>IF(OR(A90&lt;&gt; '控制台'!B4,B90&lt;&gt; '控制台'!B5,G90=""),"",MAX(0,DATE(VALUE(LEFT('控制台'!B5,4)),VALUE(RIGHT('控制台'!B5,2))+1,1)-1-G90))</f>
        <v/>
      </c>
      <c r="K90">
        <f>IF(A90="","",IF(AND(AND('控制台'!B4&lt;&gt;"",'控制台'!B5&lt;&gt;"",'控制台'!B4='刷新信息'!B6,'控制台'!B5='刷新信息'!B8),A90='控制台'!B4,B90='控制台'!B5,OR(C90="应收",C90="应付"),COUNTIFS('往来余额'!A5:A6000,C90,'往来余额'!B5:B6000,D90)=1,E90&lt;&gt;"",COUNTIFS(A$5:A$504,A90,B$5:B$504,B90,C$5:C$504,C90,D$5:D$504,D90,E$5:E$504,E90)=1,ISNUMBER(F90),I90&gt;=0,ISNUMBER(H90),H90&gt;=0),"纳入","待核实"))</f>
        <v/>
      </c>
    </row>
    <row r="91">
      <c r="A91" s="13" t="n"/>
      <c r="B91" s="13" t="n"/>
      <c r="C91" s="13" t="n"/>
      <c r="D91" s="13" t="n"/>
      <c r="E91" s="13" t="n"/>
      <c r="F91" s="19" t="n"/>
      <c r="G91" s="19" t="n"/>
      <c r="H91" s="15" t="n"/>
      <c r="I91">
        <f>IF(OR(A91&lt;&gt; '控制台'!B4,B91&lt;&gt; '控制台'!B5,F91=""),"",DATE(VALUE(LEFT('控制台'!B5,4)),VALUE(RIGHT('控制台'!B5,2))+1,1)-1-F91)</f>
        <v/>
      </c>
      <c r="J91">
        <f>IF(OR(A91&lt;&gt; '控制台'!B4,B91&lt;&gt; '控制台'!B5,G91=""),"",MAX(0,DATE(VALUE(LEFT('控制台'!B5,4)),VALUE(RIGHT('控制台'!B5,2))+1,1)-1-G91))</f>
        <v/>
      </c>
      <c r="K91">
        <f>IF(A91="","",IF(AND(AND('控制台'!B4&lt;&gt;"",'控制台'!B5&lt;&gt;"",'控制台'!B4='刷新信息'!B6,'控制台'!B5='刷新信息'!B8),A91='控制台'!B4,B91='控制台'!B5,OR(C91="应收",C91="应付"),COUNTIFS('往来余额'!A5:A6000,C91,'往来余额'!B5:B6000,D91)=1,E91&lt;&gt;"",COUNTIFS(A$5:A$504,A91,B$5:B$504,B91,C$5:C$504,C91,D$5:D$504,D91,E$5:E$504,E91)=1,ISNUMBER(F91),I91&gt;=0,ISNUMBER(H91),H91&gt;=0),"纳入","待核实"))</f>
        <v/>
      </c>
    </row>
    <row r="92">
      <c r="A92" s="13" t="n"/>
      <c r="B92" s="13" t="n"/>
      <c r="C92" s="13" t="n"/>
      <c r="D92" s="13" t="n"/>
      <c r="E92" s="13" t="n"/>
      <c r="F92" s="19" t="n"/>
      <c r="G92" s="19" t="n"/>
      <c r="H92" s="15" t="n"/>
      <c r="I92">
        <f>IF(OR(A92&lt;&gt; '控制台'!B4,B92&lt;&gt; '控制台'!B5,F92=""),"",DATE(VALUE(LEFT('控制台'!B5,4)),VALUE(RIGHT('控制台'!B5,2))+1,1)-1-F92)</f>
        <v/>
      </c>
      <c r="J92">
        <f>IF(OR(A92&lt;&gt; '控制台'!B4,B92&lt;&gt; '控制台'!B5,G92=""),"",MAX(0,DATE(VALUE(LEFT('控制台'!B5,4)),VALUE(RIGHT('控制台'!B5,2))+1,1)-1-G92))</f>
        <v/>
      </c>
      <c r="K92">
        <f>IF(A92="","",IF(AND(AND('控制台'!B4&lt;&gt;"",'控制台'!B5&lt;&gt;"",'控制台'!B4='刷新信息'!B6,'控制台'!B5='刷新信息'!B8),A92='控制台'!B4,B92='控制台'!B5,OR(C92="应收",C92="应付"),COUNTIFS('往来余额'!A5:A6000,C92,'往来余额'!B5:B6000,D92)=1,E92&lt;&gt;"",COUNTIFS(A$5:A$504,A92,B$5:B$504,B92,C$5:C$504,C92,D$5:D$504,D92,E$5:E$504,E92)=1,ISNUMBER(F92),I92&gt;=0,ISNUMBER(H92),H92&gt;=0),"纳入","待核实"))</f>
        <v/>
      </c>
    </row>
    <row r="93">
      <c r="A93" s="13" t="n"/>
      <c r="B93" s="13" t="n"/>
      <c r="C93" s="13" t="n"/>
      <c r="D93" s="13" t="n"/>
      <c r="E93" s="13" t="n"/>
      <c r="F93" s="19" t="n"/>
      <c r="G93" s="19" t="n"/>
      <c r="H93" s="15" t="n"/>
      <c r="I93">
        <f>IF(OR(A93&lt;&gt; '控制台'!B4,B93&lt;&gt; '控制台'!B5,F93=""),"",DATE(VALUE(LEFT('控制台'!B5,4)),VALUE(RIGHT('控制台'!B5,2))+1,1)-1-F93)</f>
        <v/>
      </c>
      <c r="J93">
        <f>IF(OR(A93&lt;&gt; '控制台'!B4,B93&lt;&gt; '控制台'!B5,G93=""),"",MAX(0,DATE(VALUE(LEFT('控制台'!B5,4)),VALUE(RIGHT('控制台'!B5,2))+1,1)-1-G93))</f>
        <v/>
      </c>
      <c r="K93">
        <f>IF(A93="","",IF(AND(AND('控制台'!B4&lt;&gt;"",'控制台'!B5&lt;&gt;"",'控制台'!B4='刷新信息'!B6,'控制台'!B5='刷新信息'!B8),A93='控制台'!B4,B93='控制台'!B5,OR(C93="应收",C93="应付"),COUNTIFS('往来余额'!A5:A6000,C93,'往来余额'!B5:B6000,D93)=1,E93&lt;&gt;"",COUNTIFS(A$5:A$504,A93,B$5:B$504,B93,C$5:C$504,C93,D$5:D$504,D93,E$5:E$504,E93)=1,ISNUMBER(F93),I93&gt;=0,ISNUMBER(H93),H93&gt;=0),"纳入","待核实"))</f>
        <v/>
      </c>
    </row>
    <row r="94">
      <c r="A94" s="13" t="n"/>
      <c r="B94" s="13" t="n"/>
      <c r="C94" s="13" t="n"/>
      <c r="D94" s="13" t="n"/>
      <c r="E94" s="13" t="n"/>
      <c r="F94" s="19" t="n"/>
      <c r="G94" s="19" t="n"/>
      <c r="H94" s="15" t="n"/>
      <c r="I94">
        <f>IF(OR(A94&lt;&gt; '控制台'!B4,B94&lt;&gt; '控制台'!B5,F94=""),"",DATE(VALUE(LEFT('控制台'!B5,4)),VALUE(RIGHT('控制台'!B5,2))+1,1)-1-F94)</f>
        <v/>
      </c>
      <c r="J94">
        <f>IF(OR(A94&lt;&gt; '控制台'!B4,B94&lt;&gt; '控制台'!B5,G94=""),"",MAX(0,DATE(VALUE(LEFT('控制台'!B5,4)),VALUE(RIGHT('控制台'!B5,2))+1,1)-1-G94))</f>
        <v/>
      </c>
      <c r="K94">
        <f>IF(A94="","",IF(AND(AND('控制台'!B4&lt;&gt;"",'控制台'!B5&lt;&gt;"",'控制台'!B4='刷新信息'!B6,'控制台'!B5='刷新信息'!B8),A94='控制台'!B4,B94='控制台'!B5,OR(C94="应收",C94="应付"),COUNTIFS('往来余额'!A5:A6000,C94,'往来余额'!B5:B6000,D94)=1,E94&lt;&gt;"",COUNTIFS(A$5:A$504,A94,B$5:B$504,B94,C$5:C$504,C94,D$5:D$504,D94,E$5:E$504,E94)=1,ISNUMBER(F94),I94&gt;=0,ISNUMBER(H94),H94&gt;=0),"纳入","待核实"))</f>
        <v/>
      </c>
    </row>
    <row r="95">
      <c r="A95" s="13" t="n"/>
      <c r="B95" s="13" t="n"/>
      <c r="C95" s="13" t="n"/>
      <c r="D95" s="13" t="n"/>
      <c r="E95" s="13" t="n"/>
      <c r="F95" s="19" t="n"/>
      <c r="G95" s="19" t="n"/>
      <c r="H95" s="15" t="n"/>
      <c r="I95">
        <f>IF(OR(A95&lt;&gt; '控制台'!B4,B95&lt;&gt; '控制台'!B5,F95=""),"",DATE(VALUE(LEFT('控制台'!B5,4)),VALUE(RIGHT('控制台'!B5,2))+1,1)-1-F95)</f>
        <v/>
      </c>
      <c r="J95">
        <f>IF(OR(A95&lt;&gt; '控制台'!B4,B95&lt;&gt; '控制台'!B5,G95=""),"",MAX(0,DATE(VALUE(LEFT('控制台'!B5,4)),VALUE(RIGHT('控制台'!B5,2))+1,1)-1-G95))</f>
        <v/>
      </c>
      <c r="K95">
        <f>IF(A95="","",IF(AND(AND('控制台'!B4&lt;&gt;"",'控制台'!B5&lt;&gt;"",'控制台'!B4='刷新信息'!B6,'控制台'!B5='刷新信息'!B8),A95='控制台'!B4,B95='控制台'!B5,OR(C95="应收",C95="应付"),COUNTIFS('往来余额'!A5:A6000,C95,'往来余额'!B5:B6000,D95)=1,E95&lt;&gt;"",COUNTIFS(A$5:A$504,A95,B$5:B$504,B95,C$5:C$504,C95,D$5:D$504,D95,E$5:E$504,E95)=1,ISNUMBER(F95),I95&gt;=0,ISNUMBER(H95),H95&gt;=0),"纳入","待核实"))</f>
        <v/>
      </c>
    </row>
    <row r="96">
      <c r="A96" s="13" t="n"/>
      <c r="B96" s="13" t="n"/>
      <c r="C96" s="13" t="n"/>
      <c r="D96" s="13" t="n"/>
      <c r="E96" s="13" t="n"/>
      <c r="F96" s="19" t="n"/>
      <c r="G96" s="19" t="n"/>
      <c r="H96" s="15" t="n"/>
      <c r="I96">
        <f>IF(OR(A96&lt;&gt; '控制台'!B4,B96&lt;&gt; '控制台'!B5,F96=""),"",DATE(VALUE(LEFT('控制台'!B5,4)),VALUE(RIGHT('控制台'!B5,2))+1,1)-1-F96)</f>
        <v/>
      </c>
      <c r="J96">
        <f>IF(OR(A96&lt;&gt; '控制台'!B4,B96&lt;&gt; '控制台'!B5,G96=""),"",MAX(0,DATE(VALUE(LEFT('控制台'!B5,4)),VALUE(RIGHT('控制台'!B5,2))+1,1)-1-G96))</f>
        <v/>
      </c>
      <c r="K96">
        <f>IF(A96="","",IF(AND(AND('控制台'!B4&lt;&gt;"",'控制台'!B5&lt;&gt;"",'控制台'!B4='刷新信息'!B6,'控制台'!B5='刷新信息'!B8),A96='控制台'!B4,B96='控制台'!B5,OR(C96="应收",C96="应付"),COUNTIFS('往来余额'!A5:A6000,C96,'往来余额'!B5:B6000,D96)=1,E96&lt;&gt;"",COUNTIFS(A$5:A$504,A96,B$5:B$504,B96,C$5:C$504,C96,D$5:D$504,D96,E$5:E$504,E96)=1,ISNUMBER(F96),I96&gt;=0,ISNUMBER(H96),H96&gt;=0),"纳入","待核实"))</f>
        <v/>
      </c>
    </row>
    <row r="97">
      <c r="A97" s="13" t="n"/>
      <c r="B97" s="13" t="n"/>
      <c r="C97" s="13" t="n"/>
      <c r="D97" s="13" t="n"/>
      <c r="E97" s="13" t="n"/>
      <c r="F97" s="19" t="n"/>
      <c r="G97" s="19" t="n"/>
      <c r="H97" s="15" t="n"/>
      <c r="I97">
        <f>IF(OR(A97&lt;&gt; '控制台'!B4,B97&lt;&gt; '控制台'!B5,F97=""),"",DATE(VALUE(LEFT('控制台'!B5,4)),VALUE(RIGHT('控制台'!B5,2))+1,1)-1-F97)</f>
        <v/>
      </c>
      <c r="J97">
        <f>IF(OR(A97&lt;&gt; '控制台'!B4,B97&lt;&gt; '控制台'!B5,G97=""),"",MAX(0,DATE(VALUE(LEFT('控制台'!B5,4)),VALUE(RIGHT('控制台'!B5,2))+1,1)-1-G97))</f>
        <v/>
      </c>
      <c r="K97">
        <f>IF(A97="","",IF(AND(AND('控制台'!B4&lt;&gt;"",'控制台'!B5&lt;&gt;"",'控制台'!B4='刷新信息'!B6,'控制台'!B5='刷新信息'!B8),A97='控制台'!B4,B97='控制台'!B5,OR(C97="应收",C97="应付"),COUNTIFS('往来余额'!A5:A6000,C97,'往来余额'!B5:B6000,D97)=1,E97&lt;&gt;"",COUNTIFS(A$5:A$504,A97,B$5:B$504,B97,C$5:C$504,C97,D$5:D$504,D97,E$5:E$504,E97)=1,ISNUMBER(F97),I97&gt;=0,ISNUMBER(H97),H97&gt;=0),"纳入","待核实"))</f>
        <v/>
      </c>
    </row>
    <row r="98">
      <c r="A98" s="13" t="n"/>
      <c r="B98" s="13" t="n"/>
      <c r="C98" s="13" t="n"/>
      <c r="D98" s="13" t="n"/>
      <c r="E98" s="13" t="n"/>
      <c r="F98" s="19" t="n"/>
      <c r="G98" s="19" t="n"/>
      <c r="H98" s="15" t="n"/>
      <c r="I98">
        <f>IF(OR(A98&lt;&gt; '控制台'!B4,B98&lt;&gt; '控制台'!B5,F98=""),"",DATE(VALUE(LEFT('控制台'!B5,4)),VALUE(RIGHT('控制台'!B5,2))+1,1)-1-F98)</f>
        <v/>
      </c>
      <c r="J98">
        <f>IF(OR(A98&lt;&gt; '控制台'!B4,B98&lt;&gt; '控制台'!B5,G98=""),"",MAX(0,DATE(VALUE(LEFT('控制台'!B5,4)),VALUE(RIGHT('控制台'!B5,2))+1,1)-1-G98))</f>
        <v/>
      </c>
      <c r="K98">
        <f>IF(A98="","",IF(AND(AND('控制台'!B4&lt;&gt;"",'控制台'!B5&lt;&gt;"",'控制台'!B4='刷新信息'!B6,'控制台'!B5='刷新信息'!B8),A98='控制台'!B4,B98='控制台'!B5,OR(C98="应收",C98="应付"),COUNTIFS('往来余额'!A5:A6000,C98,'往来余额'!B5:B6000,D98)=1,E98&lt;&gt;"",COUNTIFS(A$5:A$504,A98,B$5:B$504,B98,C$5:C$504,C98,D$5:D$504,D98,E$5:E$504,E98)=1,ISNUMBER(F98),I98&gt;=0,ISNUMBER(H98),H98&gt;=0),"纳入","待核实"))</f>
        <v/>
      </c>
    </row>
    <row r="99">
      <c r="A99" s="13" t="n"/>
      <c r="B99" s="13" t="n"/>
      <c r="C99" s="13" t="n"/>
      <c r="D99" s="13" t="n"/>
      <c r="E99" s="13" t="n"/>
      <c r="F99" s="19" t="n"/>
      <c r="G99" s="19" t="n"/>
      <c r="H99" s="15" t="n"/>
      <c r="I99">
        <f>IF(OR(A99&lt;&gt; '控制台'!B4,B99&lt;&gt; '控制台'!B5,F99=""),"",DATE(VALUE(LEFT('控制台'!B5,4)),VALUE(RIGHT('控制台'!B5,2))+1,1)-1-F99)</f>
        <v/>
      </c>
      <c r="J99">
        <f>IF(OR(A99&lt;&gt; '控制台'!B4,B99&lt;&gt; '控制台'!B5,G99=""),"",MAX(0,DATE(VALUE(LEFT('控制台'!B5,4)),VALUE(RIGHT('控制台'!B5,2))+1,1)-1-G99))</f>
        <v/>
      </c>
      <c r="K99">
        <f>IF(A99="","",IF(AND(AND('控制台'!B4&lt;&gt;"",'控制台'!B5&lt;&gt;"",'控制台'!B4='刷新信息'!B6,'控制台'!B5='刷新信息'!B8),A99='控制台'!B4,B99='控制台'!B5,OR(C99="应收",C99="应付"),COUNTIFS('往来余额'!A5:A6000,C99,'往来余额'!B5:B6000,D99)=1,E99&lt;&gt;"",COUNTIFS(A$5:A$504,A99,B$5:B$504,B99,C$5:C$504,C99,D$5:D$504,D99,E$5:E$504,E99)=1,ISNUMBER(F99),I99&gt;=0,ISNUMBER(H99),H99&gt;=0),"纳入","待核实"))</f>
        <v/>
      </c>
    </row>
    <row r="100">
      <c r="A100" s="13" t="n"/>
      <c r="B100" s="13" t="n"/>
      <c r="C100" s="13" t="n"/>
      <c r="D100" s="13" t="n"/>
      <c r="E100" s="13" t="n"/>
      <c r="F100" s="19" t="n"/>
      <c r="G100" s="19" t="n"/>
      <c r="H100" s="15" t="n"/>
      <c r="I100">
        <f>IF(OR(A100&lt;&gt; '控制台'!B4,B100&lt;&gt; '控制台'!B5,F100=""),"",DATE(VALUE(LEFT('控制台'!B5,4)),VALUE(RIGHT('控制台'!B5,2))+1,1)-1-F100)</f>
        <v/>
      </c>
      <c r="J100">
        <f>IF(OR(A100&lt;&gt; '控制台'!B4,B100&lt;&gt; '控制台'!B5,G100=""),"",MAX(0,DATE(VALUE(LEFT('控制台'!B5,4)),VALUE(RIGHT('控制台'!B5,2))+1,1)-1-G100))</f>
        <v/>
      </c>
      <c r="K100">
        <f>IF(A100="","",IF(AND(AND('控制台'!B4&lt;&gt;"",'控制台'!B5&lt;&gt;"",'控制台'!B4='刷新信息'!B6,'控制台'!B5='刷新信息'!B8),A100='控制台'!B4,B100='控制台'!B5,OR(C100="应收",C100="应付"),COUNTIFS('往来余额'!A5:A6000,C100,'往来余额'!B5:B6000,D100)=1,E100&lt;&gt;"",COUNTIFS(A$5:A$504,A100,B$5:B$504,B100,C$5:C$504,C100,D$5:D$504,D100,E$5:E$504,E100)=1,ISNUMBER(F100),I100&gt;=0,ISNUMBER(H100),H100&gt;=0),"纳入","待核实"))</f>
        <v/>
      </c>
    </row>
    <row r="101">
      <c r="A101" s="13" t="n"/>
      <c r="B101" s="13" t="n"/>
      <c r="C101" s="13" t="n"/>
      <c r="D101" s="13" t="n"/>
      <c r="E101" s="13" t="n"/>
      <c r="F101" s="19" t="n"/>
      <c r="G101" s="19" t="n"/>
      <c r="H101" s="15" t="n"/>
      <c r="I101">
        <f>IF(OR(A101&lt;&gt; '控制台'!B4,B101&lt;&gt; '控制台'!B5,F101=""),"",DATE(VALUE(LEFT('控制台'!B5,4)),VALUE(RIGHT('控制台'!B5,2))+1,1)-1-F101)</f>
        <v/>
      </c>
      <c r="J101">
        <f>IF(OR(A101&lt;&gt; '控制台'!B4,B101&lt;&gt; '控制台'!B5,G101=""),"",MAX(0,DATE(VALUE(LEFT('控制台'!B5,4)),VALUE(RIGHT('控制台'!B5,2))+1,1)-1-G101))</f>
        <v/>
      </c>
      <c r="K101">
        <f>IF(A101="","",IF(AND(AND('控制台'!B4&lt;&gt;"",'控制台'!B5&lt;&gt;"",'控制台'!B4='刷新信息'!B6,'控制台'!B5='刷新信息'!B8),A101='控制台'!B4,B101='控制台'!B5,OR(C101="应收",C101="应付"),COUNTIFS('往来余额'!A5:A6000,C101,'往来余额'!B5:B6000,D101)=1,E101&lt;&gt;"",COUNTIFS(A$5:A$504,A101,B$5:B$504,B101,C$5:C$504,C101,D$5:D$504,D101,E$5:E$504,E101)=1,ISNUMBER(F101),I101&gt;=0,ISNUMBER(H101),H101&gt;=0),"纳入","待核实"))</f>
        <v/>
      </c>
    </row>
    <row r="102">
      <c r="A102" s="13" t="n"/>
      <c r="B102" s="13" t="n"/>
      <c r="C102" s="13" t="n"/>
      <c r="D102" s="13" t="n"/>
      <c r="E102" s="13" t="n"/>
      <c r="F102" s="19" t="n"/>
      <c r="G102" s="19" t="n"/>
      <c r="H102" s="15" t="n"/>
      <c r="I102">
        <f>IF(OR(A102&lt;&gt; '控制台'!B4,B102&lt;&gt; '控制台'!B5,F102=""),"",DATE(VALUE(LEFT('控制台'!B5,4)),VALUE(RIGHT('控制台'!B5,2))+1,1)-1-F102)</f>
        <v/>
      </c>
      <c r="J102">
        <f>IF(OR(A102&lt;&gt; '控制台'!B4,B102&lt;&gt; '控制台'!B5,G102=""),"",MAX(0,DATE(VALUE(LEFT('控制台'!B5,4)),VALUE(RIGHT('控制台'!B5,2))+1,1)-1-G102))</f>
        <v/>
      </c>
      <c r="K102">
        <f>IF(A102="","",IF(AND(AND('控制台'!B4&lt;&gt;"",'控制台'!B5&lt;&gt;"",'控制台'!B4='刷新信息'!B6,'控制台'!B5='刷新信息'!B8),A102='控制台'!B4,B102='控制台'!B5,OR(C102="应收",C102="应付"),COUNTIFS('往来余额'!A5:A6000,C102,'往来余额'!B5:B6000,D102)=1,E102&lt;&gt;"",COUNTIFS(A$5:A$504,A102,B$5:B$504,B102,C$5:C$504,C102,D$5:D$504,D102,E$5:E$504,E102)=1,ISNUMBER(F102),I102&gt;=0,ISNUMBER(H102),H102&gt;=0),"纳入","待核实"))</f>
        <v/>
      </c>
    </row>
    <row r="103">
      <c r="A103" s="13" t="n"/>
      <c r="B103" s="13" t="n"/>
      <c r="C103" s="13" t="n"/>
      <c r="D103" s="13" t="n"/>
      <c r="E103" s="13" t="n"/>
      <c r="F103" s="19" t="n"/>
      <c r="G103" s="19" t="n"/>
      <c r="H103" s="15" t="n"/>
      <c r="I103">
        <f>IF(OR(A103&lt;&gt; '控制台'!B4,B103&lt;&gt; '控制台'!B5,F103=""),"",DATE(VALUE(LEFT('控制台'!B5,4)),VALUE(RIGHT('控制台'!B5,2))+1,1)-1-F103)</f>
        <v/>
      </c>
      <c r="J103">
        <f>IF(OR(A103&lt;&gt; '控制台'!B4,B103&lt;&gt; '控制台'!B5,G103=""),"",MAX(0,DATE(VALUE(LEFT('控制台'!B5,4)),VALUE(RIGHT('控制台'!B5,2))+1,1)-1-G103))</f>
        <v/>
      </c>
      <c r="K103">
        <f>IF(A103="","",IF(AND(AND('控制台'!B4&lt;&gt;"",'控制台'!B5&lt;&gt;"",'控制台'!B4='刷新信息'!B6,'控制台'!B5='刷新信息'!B8),A103='控制台'!B4,B103='控制台'!B5,OR(C103="应收",C103="应付"),COUNTIFS('往来余额'!A5:A6000,C103,'往来余额'!B5:B6000,D103)=1,E103&lt;&gt;"",COUNTIFS(A$5:A$504,A103,B$5:B$504,B103,C$5:C$504,C103,D$5:D$504,D103,E$5:E$504,E103)=1,ISNUMBER(F103),I103&gt;=0,ISNUMBER(H103),H103&gt;=0),"纳入","待核实"))</f>
        <v/>
      </c>
    </row>
    <row r="104">
      <c r="A104" s="13" t="n"/>
      <c r="B104" s="13" t="n"/>
      <c r="C104" s="13" t="n"/>
      <c r="D104" s="13" t="n"/>
      <c r="E104" s="13" t="n"/>
      <c r="F104" s="19" t="n"/>
      <c r="G104" s="19" t="n"/>
      <c r="H104" s="15" t="n"/>
      <c r="I104">
        <f>IF(OR(A104&lt;&gt; '控制台'!B4,B104&lt;&gt; '控制台'!B5,F104=""),"",DATE(VALUE(LEFT('控制台'!B5,4)),VALUE(RIGHT('控制台'!B5,2))+1,1)-1-F104)</f>
        <v/>
      </c>
      <c r="J104">
        <f>IF(OR(A104&lt;&gt; '控制台'!B4,B104&lt;&gt; '控制台'!B5,G104=""),"",MAX(0,DATE(VALUE(LEFT('控制台'!B5,4)),VALUE(RIGHT('控制台'!B5,2))+1,1)-1-G104))</f>
        <v/>
      </c>
      <c r="K104">
        <f>IF(A104="","",IF(AND(AND('控制台'!B4&lt;&gt;"",'控制台'!B5&lt;&gt;"",'控制台'!B4='刷新信息'!B6,'控制台'!B5='刷新信息'!B8),A104='控制台'!B4,B104='控制台'!B5,OR(C104="应收",C104="应付"),COUNTIFS('往来余额'!A5:A6000,C104,'往来余额'!B5:B6000,D104)=1,E104&lt;&gt;"",COUNTIFS(A$5:A$504,A104,B$5:B$504,B104,C$5:C$504,C104,D$5:D$504,D104,E$5:E$504,E104)=1,ISNUMBER(F104),I104&gt;=0,ISNUMBER(H104),H104&gt;=0),"纳入","待核实"))</f>
        <v/>
      </c>
    </row>
    <row r="105">
      <c r="A105" s="13" t="n"/>
      <c r="B105" s="13" t="n"/>
      <c r="C105" s="13" t="n"/>
      <c r="D105" s="13" t="n"/>
      <c r="E105" s="13" t="n"/>
      <c r="F105" s="19" t="n"/>
      <c r="G105" s="19" t="n"/>
      <c r="H105" s="15" t="n"/>
      <c r="I105">
        <f>IF(OR(A105&lt;&gt; '控制台'!B4,B105&lt;&gt; '控制台'!B5,F105=""),"",DATE(VALUE(LEFT('控制台'!B5,4)),VALUE(RIGHT('控制台'!B5,2))+1,1)-1-F105)</f>
        <v/>
      </c>
      <c r="J105">
        <f>IF(OR(A105&lt;&gt; '控制台'!B4,B105&lt;&gt; '控制台'!B5,G105=""),"",MAX(0,DATE(VALUE(LEFT('控制台'!B5,4)),VALUE(RIGHT('控制台'!B5,2))+1,1)-1-G105))</f>
        <v/>
      </c>
      <c r="K105">
        <f>IF(A105="","",IF(AND(AND('控制台'!B4&lt;&gt;"",'控制台'!B5&lt;&gt;"",'控制台'!B4='刷新信息'!B6,'控制台'!B5='刷新信息'!B8),A105='控制台'!B4,B105='控制台'!B5,OR(C105="应收",C105="应付"),COUNTIFS('往来余额'!A5:A6000,C105,'往来余额'!B5:B6000,D105)=1,E105&lt;&gt;"",COUNTIFS(A$5:A$504,A105,B$5:B$504,B105,C$5:C$504,C105,D$5:D$504,D105,E$5:E$504,E105)=1,ISNUMBER(F105),I105&gt;=0,ISNUMBER(H105),H105&gt;=0),"纳入","待核实"))</f>
        <v/>
      </c>
    </row>
    <row r="106">
      <c r="A106" s="13" t="n"/>
      <c r="B106" s="13" t="n"/>
      <c r="C106" s="13" t="n"/>
      <c r="D106" s="13" t="n"/>
      <c r="E106" s="13" t="n"/>
      <c r="F106" s="19" t="n"/>
      <c r="G106" s="19" t="n"/>
      <c r="H106" s="15" t="n"/>
      <c r="I106">
        <f>IF(OR(A106&lt;&gt; '控制台'!B4,B106&lt;&gt; '控制台'!B5,F106=""),"",DATE(VALUE(LEFT('控制台'!B5,4)),VALUE(RIGHT('控制台'!B5,2))+1,1)-1-F106)</f>
        <v/>
      </c>
      <c r="J106">
        <f>IF(OR(A106&lt;&gt; '控制台'!B4,B106&lt;&gt; '控制台'!B5,G106=""),"",MAX(0,DATE(VALUE(LEFT('控制台'!B5,4)),VALUE(RIGHT('控制台'!B5,2))+1,1)-1-G106))</f>
        <v/>
      </c>
      <c r="K106">
        <f>IF(A106="","",IF(AND(AND('控制台'!B4&lt;&gt;"",'控制台'!B5&lt;&gt;"",'控制台'!B4='刷新信息'!B6,'控制台'!B5='刷新信息'!B8),A106='控制台'!B4,B106='控制台'!B5,OR(C106="应收",C106="应付"),COUNTIFS('往来余额'!A5:A6000,C106,'往来余额'!B5:B6000,D106)=1,E106&lt;&gt;"",COUNTIFS(A$5:A$504,A106,B$5:B$504,B106,C$5:C$504,C106,D$5:D$504,D106,E$5:E$504,E106)=1,ISNUMBER(F106),I106&gt;=0,ISNUMBER(H106),H106&gt;=0),"纳入","待核实"))</f>
        <v/>
      </c>
    </row>
    <row r="107">
      <c r="A107" s="13" t="n"/>
      <c r="B107" s="13" t="n"/>
      <c r="C107" s="13" t="n"/>
      <c r="D107" s="13" t="n"/>
      <c r="E107" s="13" t="n"/>
      <c r="F107" s="19" t="n"/>
      <c r="G107" s="19" t="n"/>
      <c r="H107" s="15" t="n"/>
      <c r="I107">
        <f>IF(OR(A107&lt;&gt; '控制台'!B4,B107&lt;&gt; '控制台'!B5,F107=""),"",DATE(VALUE(LEFT('控制台'!B5,4)),VALUE(RIGHT('控制台'!B5,2))+1,1)-1-F107)</f>
        <v/>
      </c>
      <c r="J107">
        <f>IF(OR(A107&lt;&gt; '控制台'!B4,B107&lt;&gt; '控制台'!B5,G107=""),"",MAX(0,DATE(VALUE(LEFT('控制台'!B5,4)),VALUE(RIGHT('控制台'!B5,2))+1,1)-1-G107))</f>
        <v/>
      </c>
      <c r="K107">
        <f>IF(A107="","",IF(AND(AND('控制台'!B4&lt;&gt;"",'控制台'!B5&lt;&gt;"",'控制台'!B4='刷新信息'!B6,'控制台'!B5='刷新信息'!B8),A107='控制台'!B4,B107='控制台'!B5,OR(C107="应收",C107="应付"),COUNTIFS('往来余额'!A5:A6000,C107,'往来余额'!B5:B6000,D107)=1,E107&lt;&gt;"",COUNTIFS(A$5:A$504,A107,B$5:B$504,B107,C$5:C$504,C107,D$5:D$504,D107,E$5:E$504,E107)=1,ISNUMBER(F107),I107&gt;=0,ISNUMBER(H107),H107&gt;=0),"纳入","待核实"))</f>
        <v/>
      </c>
    </row>
    <row r="108">
      <c r="A108" s="13" t="n"/>
      <c r="B108" s="13" t="n"/>
      <c r="C108" s="13" t="n"/>
      <c r="D108" s="13" t="n"/>
      <c r="E108" s="13" t="n"/>
      <c r="F108" s="19" t="n"/>
      <c r="G108" s="19" t="n"/>
      <c r="H108" s="15" t="n"/>
      <c r="I108">
        <f>IF(OR(A108&lt;&gt; '控制台'!B4,B108&lt;&gt; '控制台'!B5,F108=""),"",DATE(VALUE(LEFT('控制台'!B5,4)),VALUE(RIGHT('控制台'!B5,2))+1,1)-1-F108)</f>
        <v/>
      </c>
      <c r="J108">
        <f>IF(OR(A108&lt;&gt; '控制台'!B4,B108&lt;&gt; '控制台'!B5,G108=""),"",MAX(0,DATE(VALUE(LEFT('控制台'!B5,4)),VALUE(RIGHT('控制台'!B5,2))+1,1)-1-G108))</f>
        <v/>
      </c>
      <c r="K108">
        <f>IF(A108="","",IF(AND(AND('控制台'!B4&lt;&gt;"",'控制台'!B5&lt;&gt;"",'控制台'!B4='刷新信息'!B6,'控制台'!B5='刷新信息'!B8),A108='控制台'!B4,B108='控制台'!B5,OR(C108="应收",C108="应付"),COUNTIFS('往来余额'!A5:A6000,C108,'往来余额'!B5:B6000,D108)=1,E108&lt;&gt;"",COUNTIFS(A$5:A$504,A108,B$5:B$504,B108,C$5:C$504,C108,D$5:D$504,D108,E$5:E$504,E108)=1,ISNUMBER(F108),I108&gt;=0,ISNUMBER(H108),H108&gt;=0),"纳入","待核实"))</f>
        <v/>
      </c>
    </row>
    <row r="109">
      <c r="A109" s="13" t="n"/>
      <c r="B109" s="13" t="n"/>
      <c r="C109" s="13" t="n"/>
      <c r="D109" s="13" t="n"/>
      <c r="E109" s="13" t="n"/>
      <c r="F109" s="19" t="n"/>
      <c r="G109" s="19" t="n"/>
      <c r="H109" s="15" t="n"/>
      <c r="I109">
        <f>IF(OR(A109&lt;&gt; '控制台'!B4,B109&lt;&gt; '控制台'!B5,F109=""),"",DATE(VALUE(LEFT('控制台'!B5,4)),VALUE(RIGHT('控制台'!B5,2))+1,1)-1-F109)</f>
        <v/>
      </c>
      <c r="J109">
        <f>IF(OR(A109&lt;&gt; '控制台'!B4,B109&lt;&gt; '控制台'!B5,G109=""),"",MAX(0,DATE(VALUE(LEFT('控制台'!B5,4)),VALUE(RIGHT('控制台'!B5,2))+1,1)-1-G109))</f>
        <v/>
      </c>
      <c r="K109">
        <f>IF(A109="","",IF(AND(AND('控制台'!B4&lt;&gt;"",'控制台'!B5&lt;&gt;"",'控制台'!B4='刷新信息'!B6,'控制台'!B5='刷新信息'!B8),A109='控制台'!B4,B109='控制台'!B5,OR(C109="应收",C109="应付"),COUNTIFS('往来余额'!A5:A6000,C109,'往来余额'!B5:B6000,D109)=1,E109&lt;&gt;"",COUNTIFS(A$5:A$504,A109,B$5:B$504,B109,C$5:C$504,C109,D$5:D$504,D109,E$5:E$504,E109)=1,ISNUMBER(F109),I109&gt;=0,ISNUMBER(H109),H109&gt;=0),"纳入","待核实"))</f>
        <v/>
      </c>
    </row>
    <row r="110">
      <c r="A110" s="13" t="n"/>
      <c r="B110" s="13" t="n"/>
      <c r="C110" s="13" t="n"/>
      <c r="D110" s="13" t="n"/>
      <c r="E110" s="13" t="n"/>
      <c r="F110" s="19" t="n"/>
      <c r="G110" s="19" t="n"/>
      <c r="H110" s="15" t="n"/>
      <c r="I110">
        <f>IF(OR(A110&lt;&gt; '控制台'!B4,B110&lt;&gt; '控制台'!B5,F110=""),"",DATE(VALUE(LEFT('控制台'!B5,4)),VALUE(RIGHT('控制台'!B5,2))+1,1)-1-F110)</f>
        <v/>
      </c>
      <c r="J110">
        <f>IF(OR(A110&lt;&gt; '控制台'!B4,B110&lt;&gt; '控制台'!B5,G110=""),"",MAX(0,DATE(VALUE(LEFT('控制台'!B5,4)),VALUE(RIGHT('控制台'!B5,2))+1,1)-1-G110))</f>
        <v/>
      </c>
      <c r="K110">
        <f>IF(A110="","",IF(AND(AND('控制台'!B4&lt;&gt;"",'控制台'!B5&lt;&gt;"",'控制台'!B4='刷新信息'!B6,'控制台'!B5='刷新信息'!B8),A110='控制台'!B4,B110='控制台'!B5,OR(C110="应收",C110="应付"),COUNTIFS('往来余额'!A5:A6000,C110,'往来余额'!B5:B6000,D110)=1,E110&lt;&gt;"",COUNTIFS(A$5:A$504,A110,B$5:B$504,B110,C$5:C$504,C110,D$5:D$504,D110,E$5:E$504,E110)=1,ISNUMBER(F110),I110&gt;=0,ISNUMBER(H110),H110&gt;=0),"纳入","待核实"))</f>
        <v/>
      </c>
    </row>
    <row r="111">
      <c r="A111" s="13" t="n"/>
      <c r="B111" s="13" t="n"/>
      <c r="C111" s="13" t="n"/>
      <c r="D111" s="13" t="n"/>
      <c r="E111" s="13" t="n"/>
      <c r="F111" s="19" t="n"/>
      <c r="G111" s="19" t="n"/>
      <c r="H111" s="15" t="n"/>
      <c r="I111">
        <f>IF(OR(A111&lt;&gt; '控制台'!B4,B111&lt;&gt; '控制台'!B5,F111=""),"",DATE(VALUE(LEFT('控制台'!B5,4)),VALUE(RIGHT('控制台'!B5,2))+1,1)-1-F111)</f>
        <v/>
      </c>
      <c r="J111">
        <f>IF(OR(A111&lt;&gt; '控制台'!B4,B111&lt;&gt; '控制台'!B5,G111=""),"",MAX(0,DATE(VALUE(LEFT('控制台'!B5,4)),VALUE(RIGHT('控制台'!B5,2))+1,1)-1-G111))</f>
        <v/>
      </c>
      <c r="K111">
        <f>IF(A111="","",IF(AND(AND('控制台'!B4&lt;&gt;"",'控制台'!B5&lt;&gt;"",'控制台'!B4='刷新信息'!B6,'控制台'!B5='刷新信息'!B8),A111='控制台'!B4,B111='控制台'!B5,OR(C111="应收",C111="应付"),COUNTIFS('往来余额'!A5:A6000,C111,'往来余额'!B5:B6000,D111)=1,E111&lt;&gt;"",COUNTIFS(A$5:A$504,A111,B$5:B$504,B111,C$5:C$504,C111,D$5:D$504,D111,E$5:E$504,E111)=1,ISNUMBER(F111),I111&gt;=0,ISNUMBER(H111),H111&gt;=0),"纳入","待核实"))</f>
        <v/>
      </c>
    </row>
    <row r="112">
      <c r="A112" s="13" t="n"/>
      <c r="B112" s="13" t="n"/>
      <c r="C112" s="13" t="n"/>
      <c r="D112" s="13" t="n"/>
      <c r="E112" s="13" t="n"/>
      <c r="F112" s="19" t="n"/>
      <c r="G112" s="19" t="n"/>
      <c r="H112" s="15" t="n"/>
      <c r="I112">
        <f>IF(OR(A112&lt;&gt; '控制台'!B4,B112&lt;&gt; '控制台'!B5,F112=""),"",DATE(VALUE(LEFT('控制台'!B5,4)),VALUE(RIGHT('控制台'!B5,2))+1,1)-1-F112)</f>
        <v/>
      </c>
      <c r="J112">
        <f>IF(OR(A112&lt;&gt; '控制台'!B4,B112&lt;&gt; '控制台'!B5,G112=""),"",MAX(0,DATE(VALUE(LEFT('控制台'!B5,4)),VALUE(RIGHT('控制台'!B5,2))+1,1)-1-G112))</f>
        <v/>
      </c>
      <c r="K112">
        <f>IF(A112="","",IF(AND(AND('控制台'!B4&lt;&gt;"",'控制台'!B5&lt;&gt;"",'控制台'!B4='刷新信息'!B6,'控制台'!B5='刷新信息'!B8),A112='控制台'!B4,B112='控制台'!B5,OR(C112="应收",C112="应付"),COUNTIFS('往来余额'!A5:A6000,C112,'往来余额'!B5:B6000,D112)=1,E112&lt;&gt;"",COUNTIFS(A$5:A$504,A112,B$5:B$504,B112,C$5:C$504,C112,D$5:D$504,D112,E$5:E$504,E112)=1,ISNUMBER(F112),I112&gt;=0,ISNUMBER(H112),H112&gt;=0),"纳入","待核实"))</f>
        <v/>
      </c>
    </row>
    <row r="113">
      <c r="A113" s="13" t="n"/>
      <c r="B113" s="13" t="n"/>
      <c r="C113" s="13" t="n"/>
      <c r="D113" s="13" t="n"/>
      <c r="E113" s="13" t="n"/>
      <c r="F113" s="19" t="n"/>
      <c r="G113" s="19" t="n"/>
      <c r="H113" s="15" t="n"/>
      <c r="I113">
        <f>IF(OR(A113&lt;&gt; '控制台'!B4,B113&lt;&gt; '控制台'!B5,F113=""),"",DATE(VALUE(LEFT('控制台'!B5,4)),VALUE(RIGHT('控制台'!B5,2))+1,1)-1-F113)</f>
        <v/>
      </c>
      <c r="J113">
        <f>IF(OR(A113&lt;&gt; '控制台'!B4,B113&lt;&gt; '控制台'!B5,G113=""),"",MAX(0,DATE(VALUE(LEFT('控制台'!B5,4)),VALUE(RIGHT('控制台'!B5,2))+1,1)-1-G113))</f>
        <v/>
      </c>
      <c r="K113">
        <f>IF(A113="","",IF(AND(AND('控制台'!B4&lt;&gt;"",'控制台'!B5&lt;&gt;"",'控制台'!B4='刷新信息'!B6,'控制台'!B5='刷新信息'!B8),A113='控制台'!B4,B113='控制台'!B5,OR(C113="应收",C113="应付"),COUNTIFS('往来余额'!A5:A6000,C113,'往来余额'!B5:B6000,D113)=1,E113&lt;&gt;"",COUNTIFS(A$5:A$504,A113,B$5:B$504,B113,C$5:C$504,C113,D$5:D$504,D113,E$5:E$504,E113)=1,ISNUMBER(F113),I113&gt;=0,ISNUMBER(H113),H113&gt;=0),"纳入","待核实"))</f>
        <v/>
      </c>
    </row>
    <row r="114">
      <c r="A114" s="13" t="n"/>
      <c r="B114" s="13" t="n"/>
      <c r="C114" s="13" t="n"/>
      <c r="D114" s="13" t="n"/>
      <c r="E114" s="13" t="n"/>
      <c r="F114" s="19" t="n"/>
      <c r="G114" s="19" t="n"/>
      <c r="H114" s="15" t="n"/>
      <c r="I114">
        <f>IF(OR(A114&lt;&gt; '控制台'!B4,B114&lt;&gt; '控制台'!B5,F114=""),"",DATE(VALUE(LEFT('控制台'!B5,4)),VALUE(RIGHT('控制台'!B5,2))+1,1)-1-F114)</f>
        <v/>
      </c>
      <c r="J114">
        <f>IF(OR(A114&lt;&gt; '控制台'!B4,B114&lt;&gt; '控制台'!B5,G114=""),"",MAX(0,DATE(VALUE(LEFT('控制台'!B5,4)),VALUE(RIGHT('控制台'!B5,2))+1,1)-1-G114))</f>
        <v/>
      </c>
      <c r="K114">
        <f>IF(A114="","",IF(AND(AND('控制台'!B4&lt;&gt;"",'控制台'!B5&lt;&gt;"",'控制台'!B4='刷新信息'!B6,'控制台'!B5='刷新信息'!B8),A114='控制台'!B4,B114='控制台'!B5,OR(C114="应收",C114="应付"),COUNTIFS('往来余额'!A5:A6000,C114,'往来余额'!B5:B6000,D114)=1,E114&lt;&gt;"",COUNTIFS(A$5:A$504,A114,B$5:B$504,B114,C$5:C$504,C114,D$5:D$504,D114,E$5:E$504,E114)=1,ISNUMBER(F114),I114&gt;=0,ISNUMBER(H114),H114&gt;=0),"纳入","待核实"))</f>
        <v/>
      </c>
    </row>
    <row r="115">
      <c r="A115" s="13" t="n"/>
      <c r="B115" s="13" t="n"/>
      <c r="C115" s="13" t="n"/>
      <c r="D115" s="13" t="n"/>
      <c r="E115" s="13" t="n"/>
      <c r="F115" s="19" t="n"/>
      <c r="G115" s="19" t="n"/>
      <c r="H115" s="15" t="n"/>
      <c r="I115">
        <f>IF(OR(A115&lt;&gt; '控制台'!B4,B115&lt;&gt; '控制台'!B5,F115=""),"",DATE(VALUE(LEFT('控制台'!B5,4)),VALUE(RIGHT('控制台'!B5,2))+1,1)-1-F115)</f>
        <v/>
      </c>
      <c r="J115">
        <f>IF(OR(A115&lt;&gt; '控制台'!B4,B115&lt;&gt; '控制台'!B5,G115=""),"",MAX(0,DATE(VALUE(LEFT('控制台'!B5,4)),VALUE(RIGHT('控制台'!B5,2))+1,1)-1-G115))</f>
        <v/>
      </c>
      <c r="K115">
        <f>IF(A115="","",IF(AND(AND('控制台'!B4&lt;&gt;"",'控制台'!B5&lt;&gt;"",'控制台'!B4='刷新信息'!B6,'控制台'!B5='刷新信息'!B8),A115='控制台'!B4,B115='控制台'!B5,OR(C115="应收",C115="应付"),COUNTIFS('往来余额'!A5:A6000,C115,'往来余额'!B5:B6000,D115)=1,E115&lt;&gt;"",COUNTIFS(A$5:A$504,A115,B$5:B$504,B115,C$5:C$504,C115,D$5:D$504,D115,E$5:E$504,E115)=1,ISNUMBER(F115),I115&gt;=0,ISNUMBER(H115),H115&gt;=0),"纳入","待核实"))</f>
        <v/>
      </c>
    </row>
    <row r="116">
      <c r="A116" s="13" t="n"/>
      <c r="B116" s="13" t="n"/>
      <c r="C116" s="13" t="n"/>
      <c r="D116" s="13" t="n"/>
      <c r="E116" s="13" t="n"/>
      <c r="F116" s="19" t="n"/>
      <c r="G116" s="19" t="n"/>
      <c r="H116" s="15" t="n"/>
      <c r="I116">
        <f>IF(OR(A116&lt;&gt; '控制台'!B4,B116&lt;&gt; '控制台'!B5,F116=""),"",DATE(VALUE(LEFT('控制台'!B5,4)),VALUE(RIGHT('控制台'!B5,2))+1,1)-1-F116)</f>
        <v/>
      </c>
      <c r="J116">
        <f>IF(OR(A116&lt;&gt; '控制台'!B4,B116&lt;&gt; '控制台'!B5,G116=""),"",MAX(0,DATE(VALUE(LEFT('控制台'!B5,4)),VALUE(RIGHT('控制台'!B5,2))+1,1)-1-G116))</f>
        <v/>
      </c>
      <c r="K116">
        <f>IF(A116="","",IF(AND(AND('控制台'!B4&lt;&gt;"",'控制台'!B5&lt;&gt;"",'控制台'!B4='刷新信息'!B6,'控制台'!B5='刷新信息'!B8),A116='控制台'!B4,B116='控制台'!B5,OR(C116="应收",C116="应付"),COUNTIFS('往来余额'!A5:A6000,C116,'往来余额'!B5:B6000,D116)=1,E116&lt;&gt;"",COUNTIFS(A$5:A$504,A116,B$5:B$504,B116,C$5:C$504,C116,D$5:D$504,D116,E$5:E$504,E116)=1,ISNUMBER(F116),I116&gt;=0,ISNUMBER(H116),H116&gt;=0),"纳入","待核实"))</f>
        <v/>
      </c>
    </row>
    <row r="117">
      <c r="A117" s="13" t="n"/>
      <c r="B117" s="13" t="n"/>
      <c r="C117" s="13" t="n"/>
      <c r="D117" s="13" t="n"/>
      <c r="E117" s="13" t="n"/>
      <c r="F117" s="19" t="n"/>
      <c r="G117" s="19" t="n"/>
      <c r="H117" s="15" t="n"/>
      <c r="I117">
        <f>IF(OR(A117&lt;&gt; '控制台'!B4,B117&lt;&gt; '控制台'!B5,F117=""),"",DATE(VALUE(LEFT('控制台'!B5,4)),VALUE(RIGHT('控制台'!B5,2))+1,1)-1-F117)</f>
        <v/>
      </c>
      <c r="J117">
        <f>IF(OR(A117&lt;&gt; '控制台'!B4,B117&lt;&gt; '控制台'!B5,G117=""),"",MAX(0,DATE(VALUE(LEFT('控制台'!B5,4)),VALUE(RIGHT('控制台'!B5,2))+1,1)-1-G117))</f>
        <v/>
      </c>
      <c r="K117">
        <f>IF(A117="","",IF(AND(AND('控制台'!B4&lt;&gt;"",'控制台'!B5&lt;&gt;"",'控制台'!B4='刷新信息'!B6,'控制台'!B5='刷新信息'!B8),A117='控制台'!B4,B117='控制台'!B5,OR(C117="应收",C117="应付"),COUNTIFS('往来余额'!A5:A6000,C117,'往来余额'!B5:B6000,D117)=1,E117&lt;&gt;"",COUNTIFS(A$5:A$504,A117,B$5:B$504,B117,C$5:C$504,C117,D$5:D$504,D117,E$5:E$504,E117)=1,ISNUMBER(F117),I117&gt;=0,ISNUMBER(H117),H117&gt;=0),"纳入","待核实"))</f>
        <v/>
      </c>
    </row>
    <row r="118">
      <c r="A118" s="13" t="n"/>
      <c r="B118" s="13" t="n"/>
      <c r="C118" s="13" t="n"/>
      <c r="D118" s="13" t="n"/>
      <c r="E118" s="13" t="n"/>
      <c r="F118" s="19" t="n"/>
      <c r="G118" s="19" t="n"/>
      <c r="H118" s="15" t="n"/>
      <c r="I118">
        <f>IF(OR(A118&lt;&gt; '控制台'!B4,B118&lt;&gt; '控制台'!B5,F118=""),"",DATE(VALUE(LEFT('控制台'!B5,4)),VALUE(RIGHT('控制台'!B5,2))+1,1)-1-F118)</f>
        <v/>
      </c>
      <c r="J118">
        <f>IF(OR(A118&lt;&gt; '控制台'!B4,B118&lt;&gt; '控制台'!B5,G118=""),"",MAX(0,DATE(VALUE(LEFT('控制台'!B5,4)),VALUE(RIGHT('控制台'!B5,2))+1,1)-1-G118))</f>
        <v/>
      </c>
      <c r="K118">
        <f>IF(A118="","",IF(AND(AND('控制台'!B4&lt;&gt;"",'控制台'!B5&lt;&gt;"",'控制台'!B4='刷新信息'!B6,'控制台'!B5='刷新信息'!B8),A118='控制台'!B4,B118='控制台'!B5,OR(C118="应收",C118="应付"),COUNTIFS('往来余额'!A5:A6000,C118,'往来余额'!B5:B6000,D118)=1,E118&lt;&gt;"",COUNTIFS(A$5:A$504,A118,B$5:B$504,B118,C$5:C$504,C118,D$5:D$504,D118,E$5:E$504,E118)=1,ISNUMBER(F118),I118&gt;=0,ISNUMBER(H118),H118&gt;=0),"纳入","待核实"))</f>
        <v/>
      </c>
    </row>
    <row r="119">
      <c r="A119" s="13" t="n"/>
      <c r="B119" s="13" t="n"/>
      <c r="C119" s="13" t="n"/>
      <c r="D119" s="13" t="n"/>
      <c r="E119" s="13" t="n"/>
      <c r="F119" s="19" t="n"/>
      <c r="G119" s="19" t="n"/>
      <c r="H119" s="15" t="n"/>
      <c r="I119">
        <f>IF(OR(A119&lt;&gt; '控制台'!B4,B119&lt;&gt; '控制台'!B5,F119=""),"",DATE(VALUE(LEFT('控制台'!B5,4)),VALUE(RIGHT('控制台'!B5,2))+1,1)-1-F119)</f>
        <v/>
      </c>
      <c r="J119">
        <f>IF(OR(A119&lt;&gt; '控制台'!B4,B119&lt;&gt; '控制台'!B5,G119=""),"",MAX(0,DATE(VALUE(LEFT('控制台'!B5,4)),VALUE(RIGHT('控制台'!B5,2))+1,1)-1-G119))</f>
        <v/>
      </c>
      <c r="K119">
        <f>IF(A119="","",IF(AND(AND('控制台'!B4&lt;&gt;"",'控制台'!B5&lt;&gt;"",'控制台'!B4='刷新信息'!B6,'控制台'!B5='刷新信息'!B8),A119='控制台'!B4,B119='控制台'!B5,OR(C119="应收",C119="应付"),COUNTIFS('往来余额'!A5:A6000,C119,'往来余额'!B5:B6000,D119)=1,E119&lt;&gt;"",COUNTIFS(A$5:A$504,A119,B$5:B$504,B119,C$5:C$504,C119,D$5:D$504,D119,E$5:E$504,E119)=1,ISNUMBER(F119),I119&gt;=0,ISNUMBER(H119),H119&gt;=0),"纳入","待核实"))</f>
        <v/>
      </c>
    </row>
    <row r="120">
      <c r="A120" s="13" t="n"/>
      <c r="B120" s="13" t="n"/>
      <c r="C120" s="13" t="n"/>
      <c r="D120" s="13" t="n"/>
      <c r="E120" s="13" t="n"/>
      <c r="F120" s="19" t="n"/>
      <c r="G120" s="19" t="n"/>
      <c r="H120" s="15" t="n"/>
      <c r="I120">
        <f>IF(OR(A120&lt;&gt; '控制台'!B4,B120&lt;&gt; '控制台'!B5,F120=""),"",DATE(VALUE(LEFT('控制台'!B5,4)),VALUE(RIGHT('控制台'!B5,2))+1,1)-1-F120)</f>
        <v/>
      </c>
      <c r="J120">
        <f>IF(OR(A120&lt;&gt; '控制台'!B4,B120&lt;&gt; '控制台'!B5,G120=""),"",MAX(0,DATE(VALUE(LEFT('控制台'!B5,4)),VALUE(RIGHT('控制台'!B5,2))+1,1)-1-G120))</f>
        <v/>
      </c>
      <c r="K120">
        <f>IF(A120="","",IF(AND(AND('控制台'!B4&lt;&gt;"",'控制台'!B5&lt;&gt;"",'控制台'!B4='刷新信息'!B6,'控制台'!B5='刷新信息'!B8),A120='控制台'!B4,B120='控制台'!B5,OR(C120="应收",C120="应付"),COUNTIFS('往来余额'!A5:A6000,C120,'往来余额'!B5:B6000,D120)=1,E120&lt;&gt;"",COUNTIFS(A$5:A$504,A120,B$5:B$504,B120,C$5:C$504,C120,D$5:D$504,D120,E$5:E$504,E120)=1,ISNUMBER(F120),I120&gt;=0,ISNUMBER(H120),H120&gt;=0),"纳入","待核实"))</f>
        <v/>
      </c>
    </row>
    <row r="121">
      <c r="A121" s="13" t="n"/>
      <c r="B121" s="13" t="n"/>
      <c r="C121" s="13" t="n"/>
      <c r="D121" s="13" t="n"/>
      <c r="E121" s="13" t="n"/>
      <c r="F121" s="19" t="n"/>
      <c r="G121" s="19" t="n"/>
      <c r="H121" s="15" t="n"/>
      <c r="I121">
        <f>IF(OR(A121&lt;&gt; '控制台'!B4,B121&lt;&gt; '控制台'!B5,F121=""),"",DATE(VALUE(LEFT('控制台'!B5,4)),VALUE(RIGHT('控制台'!B5,2))+1,1)-1-F121)</f>
        <v/>
      </c>
      <c r="J121">
        <f>IF(OR(A121&lt;&gt; '控制台'!B4,B121&lt;&gt; '控制台'!B5,G121=""),"",MAX(0,DATE(VALUE(LEFT('控制台'!B5,4)),VALUE(RIGHT('控制台'!B5,2))+1,1)-1-G121))</f>
        <v/>
      </c>
      <c r="K121">
        <f>IF(A121="","",IF(AND(AND('控制台'!B4&lt;&gt;"",'控制台'!B5&lt;&gt;"",'控制台'!B4='刷新信息'!B6,'控制台'!B5='刷新信息'!B8),A121='控制台'!B4,B121='控制台'!B5,OR(C121="应收",C121="应付"),COUNTIFS('往来余额'!A5:A6000,C121,'往来余额'!B5:B6000,D121)=1,E121&lt;&gt;"",COUNTIFS(A$5:A$504,A121,B$5:B$504,B121,C$5:C$504,C121,D$5:D$504,D121,E$5:E$504,E121)=1,ISNUMBER(F121),I121&gt;=0,ISNUMBER(H121),H121&gt;=0),"纳入","待核实"))</f>
        <v/>
      </c>
    </row>
    <row r="122">
      <c r="A122" s="13" t="n"/>
      <c r="B122" s="13" t="n"/>
      <c r="C122" s="13" t="n"/>
      <c r="D122" s="13" t="n"/>
      <c r="E122" s="13" t="n"/>
      <c r="F122" s="19" t="n"/>
      <c r="G122" s="19" t="n"/>
      <c r="H122" s="15" t="n"/>
      <c r="I122">
        <f>IF(OR(A122&lt;&gt; '控制台'!B4,B122&lt;&gt; '控制台'!B5,F122=""),"",DATE(VALUE(LEFT('控制台'!B5,4)),VALUE(RIGHT('控制台'!B5,2))+1,1)-1-F122)</f>
        <v/>
      </c>
      <c r="J122">
        <f>IF(OR(A122&lt;&gt; '控制台'!B4,B122&lt;&gt; '控制台'!B5,G122=""),"",MAX(0,DATE(VALUE(LEFT('控制台'!B5,4)),VALUE(RIGHT('控制台'!B5,2))+1,1)-1-G122))</f>
        <v/>
      </c>
      <c r="K122">
        <f>IF(A122="","",IF(AND(AND('控制台'!B4&lt;&gt;"",'控制台'!B5&lt;&gt;"",'控制台'!B4='刷新信息'!B6,'控制台'!B5='刷新信息'!B8),A122='控制台'!B4,B122='控制台'!B5,OR(C122="应收",C122="应付"),COUNTIFS('往来余额'!A5:A6000,C122,'往来余额'!B5:B6000,D122)=1,E122&lt;&gt;"",COUNTIFS(A$5:A$504,A122,B$5:B$504,B122,C$5:C$504,C122,D$5:D$504,D122,E$5:E$504,E122)=1,ISNUMBER(F122),I122&gt;=0,ISNUMBER(H122),H122&gt;=0),"纳入","待核实"))</f>
        <v/>
      </c>
    </row>
    <row r="123">
      <c r="A123" s="13" t="n"/>
      <c r="B123" s="13" t="n"/>
      <c r="C123" s="13" t="n"/>
      <c r="D123" s="13" t="n"/>
      <c r="E123" s="13" t="n"/>
      <c r="F123" s="19" t="n"/>
      <c r="G123" s="19" t="n"/>
      <c r="H123" s="15" t="n"/>
      <c r="I123">
        <f>IF(OR(A123&lt;&gt; '控制台'!B4,B123&lt;&gt; '控制台'!B5,F123=""),"",DATE(VALUE(LEFT('控制台'!B5,4)),VALUE(RIGHT('控制台'!B5,2))+1,1)-1-F123)</f>
        <v/>
      </c>
      <c r="J123">
        <f>IF(OR(A123&lt;&gt; '控制台'!B4,B123&lt;&gt; '控制台'!B5,G123=""),"",MAX(0,DATE(VALUE(LEFT('控制台'!B5,4)),VALUE(RIGHT('控制台'!B5,2))+1,1)-1-G123))</f>
        <v/>
      </c>
      <c r="K123">
        <f>IF(A123="","",IF(AND(AND('控制台'!B4&lt;&gt;"",'控制台'!B5&lt;&gt;"",'控制台'!B4='刷新信息'!B6,'控制台'!B5='刷新信息'!B8),A123='控制台'!B4,B123='控制台'!B5,OR(C123="应收",C123="应付"),COUNTIFS('往来余额'!A5:A6000,C123,'往来余额'!B5:B6000,D123)=1,E123&lt;&gt;"",COUNTIFS(A$5:A$504,A123,B$5:B$504,B123,C$5:C$504,C123,D$5:D$504,D123,E$5:E$504,E123)=1,ISNUMBER(F123),I123&gt;=0,ISNUMBER(H123),H123&gt;=0),"纳入","待核实"))</f>
        <v/>
      </c>
    </row>
    <row r="124">
      <c r="A124" s="13" t="n"/>
      <c r="B124" s="13" t="n"/>
      <c r="C124" s="13" t="n"/>
      <c r="D124" s="13" t="n"/>
      <c r="E124" s="13" t="n"/>
      <c r="F124" s="19" t="n"/>
      <c r="G124" s="19" t="n"/>
      <c r="H124" s="15" t="n"/>
      <c r="I124">
        <f>IF(OR(A124&lt;&gt; '控制台'!B4,B124&lt;&gt; '控制台'!B5,F124=""),"",DATE(VALUE(LEFT('控制台'!B5,4)),VALUE(RIGHT('控制台'!B5,2))+1,1)-1-F124)</f>
        <v/>
      </c>
      <c r="J124">
        <f>IF(OR(A124&lt;&gt; '控制台'!B4,B124&lt;&gt; '控制台'!B5,G124=""),"",MAX(0,DATE(VALUE(LEFT('控制台'!B5,4)),VALUE(RIGHT('控制台'!B5,2))+1,1)-1-G124))</f>
        <v/>
      </c>
      <c r="K124">
        <f>IF(A124="","",IF(AND(AND('控制台'!B4&lt;&gt;"",'控制台'!B5&lt;&gt;"",'控制台'!B4='刷新信息'!B6,'控制台'!B5='刷新信息'!B8),A124='控制台'!B4,B124='控制台'!B5,OR(C124="应收",C124="应付"),COUNTIFS('往来余额'!A5:A6000,C124,'往来余额'!B5:B6000,D124)=1,E124&lt;&gt;"",COUNTIFS(A$5:A$504,A124,B$5:B$504,B124,C$5:C$504,C124,D$5:D$504,D124,E$5:E$504,E124)=1,ISNUMBER(F124),I124&gt;=0,ISNUMBER(H124),H124&gt;=0),"纳入","待核实"))</f>
        <v/>
      </c>
    </row>
    <row r="125">
      <c r="A125" s="13" t="n"/>
      <c r="B125" s="13" t="n"/>
      <c r="C125" s="13" t="n"/>
      <c r="D125" s="13" t="n"/>
      <c r="E125" s="13" t="n"/>
      <c r="F125" s="19" t="n"/>
      <c r="G125" s="19" t="n"/>
      <c r="H125" s="15" t="n"/>
      <c r="I125">
        <f>IF(OR(A125&lt;&gt; '控制台'!B4,B125&lt;&gt; '控制台'!B5,F125=""),"",DATE(VALUE(LEFT('控制台'!B5,4)),VALUE(RIGHT('控制台'!B5,2))+1,1)-1-F125)</f>
        <v/>
      </c>
      <c r="J125">
        <f>IF(OR(A125&lt;&gt; '控制台'!B4,B125&lt;&gt; '控制台'!B5,G125=""),"",MAX(0,DATE(VALUE(LEFT('控制台'!B5,4)),VALUE(RIGHT('控制台'!B5,2))+1,1)-1-G125))</f>
        <v/>
      </c>
      <c r="K125">
        <f>IF(A125="","",IF(AND(AND('控制台'!B4&lt;&gt;"",'控制台'!B5&lt;&gt;"",'控制台'!B4='刷新信息'!B6,'控制台'!B5='刷新信息'!B8),A125='控制台'!B4,B125='控制台'!B5,OR(C125="应收",C125="应付"),COUNTIFS('往来余额'!A5:A6000,C125,'往来余额'!B5:B6000,D125)=1,E125&lt;&gt;"",COUNTIFS(A$5:A$504,A125,B$5:B$504,B125,C$5:C$504,C125,D$5:D$504,D125,E$5:E$504,E125)=1,ISNUMBER(F125),I125&gt;=0,ISNUMBER(H125),H125&gt;=0),"纳入","待核实"))</f>
        <v/>
      </c>
    </row>
    <row r="126">
      <c r="A126" s="13" t="n"/>
      <c r="B126" s="13" t="n"/>
      <c r="C126" s="13" t="n"/>
      <c r="D126" s="13" t="n"/>
      <c r="E126" s="13" t="n"/>
      <c r="F126" s="19" t="n"/>
      <c r="G126" s="19" t="n"/>
      <c r="H126" s="15" t="n"/>
      <c r="I126">
        <f>IF(OR(A126&lt;&gt; '控制台'!B4,B126&lt;&gt; '控制台'!B5,F126=""),"",DATE(VALUE(LEFT('控制台'!B5,4)),VALUE(RIGHT('控制台'!B5,2))+1,1)-1-F126)</f>
        <v/>
      </c>
      <c r="J126">
        <f>IF(OR(A126&lt;&gt; '控制台'!B4,B126&lt;&gt; '控制台'!B5,G126=""),"",MAX(0,DATE(VALUE(LEFT('控制台'!B5,4)),VALUE(RIGHT('控制台'!B5,2))+1,1)-1-G126))</f>
        <v/>
      </c>
      <c r="K126">
        <f>IF(A126="","",IF(AND(AND('控制台'!B4&lt;&gt;"",'控制台'!B5&lt;&gt;"",'控制台'!B4='刷新信息'!B6,'控制台'!B5='刷新信息'!B8),A126='控制台'!B4,B126='控制台'!B5,OR(C126="应收",C126="应付"),COUNTIFS('往来余额'!A5:A6000,C126,'往来余额'!B5:B6000,D126)=1,E126&lt;&gt;"",COUNTIFS(A$5:A$504,A126,B$5:B$504,B126,C$5:C$504,C126,D$5:D$504,D126,E$5:E$504,E126)=1,ISNUMBER(F126),I126&gt;=0,ISNUMBER(H126),H126&gt;=0),"纳入","待核实"))</f>
        <v/>
      </c>
    </row>
    <row r="127">
      <c r="A127" s="13" t="n"/>
      <c r="B127" s="13" t="n"/>
      <c r="C127" s="13" t="n"/>
      <c r="D127" s="13" t="n"/>
      <c r="E127" s="13" t="n"/>
      <c r="F127" s="19" t="n"/>
      <c r="G127" s="19" t="n"/>
      <c r="H127" s="15" t="n"/>
      <c r="I127">
        <f>IF(OR(A127&lt;&gt; '控制台'!B4,B127&lt;&gt; '控制台'!B5,F127=""),"",DATE(VALUE(LEFT('控制台'!B5,4)),VALUE(RIGHT('控制台'!B5,2))+1,1)-1-F127)</f>
        <v/>
      </c>
      <c r="J127">
        <f>IF(OR(A127&lt;&gt; '控制台'!B4,B127&lt;&gt; '控制台'!B5,G127=""),"",MAX(0,DATE(VALUE(LEFT('控制台'!B5,4)),VALUE(RIGHT('控制台'!B5,2))+1,1)-1-G127))</f>
        <v/>
      </c>
      <c r="K127">
        <f>IF(A127="","",IF(AND(AND('控制台'!B4&lt;&gt;"",'控制台'!B5&lt;&gt;"",'控制台'!B4='刷新信息'!B6,'控制台'!B5='刷新信息'!B8),A127='控制台'!B4,B127='控制台'!B5,OR(C127="应收",C127="应付"),COUNTIFS('往来余额'!A5:A6000,C127,'往来余额'!B5:B6000,D127)=1,E127&lt;&gt;"",COUNTIFS(A$5:A$504,A127,B$5:B$504,B127,C$5:C$504,C127,D$5:D$504,D127,E$5:E$504,E127)=1,ISNUMBER(F127),I127&gt;=0,ISNUMBER(H127),H127&gt;=0),"纳入","待核实"))</f>
        <v/>
      </c>
    </row>
    <row r="128">
      <c r="A128" s="13" t="n"/>
      <c r="B128" s="13" t="n"/>
      <c r="C128" s="13" t="n"/>
      <c r="D128" s="13" t="n"/>
      <c r="E128" s="13" t="n"/>
      <c r="F128" s="19" t="n"/>
      <c r="G128" s="19" t="n"/>
      <c r="H128" s="15" t="n"/>
      <c r="I128">
        <f>IF(OR(A128&lt;&gt; '控制台'!B4,B128&lt;&gt; '控制台'!B5,F128=""),"",DATE(VALUE(LEFT('控制台'!B5,4)),VALUE(RIGHT('控制台'!B5,2))+1,1)-1-F128)</f>
        <v/>
      </c>
      <c r="J128">
        <f>IF(OR(A128&lt;&gt; '控制台'!B4,B128&lt;&gt; '控制台'!B5,G128=""),"",MAX(0,DATE(VALUE(LEFT('控制台'!B5,4)),VALUE(RIGHT('控制台'!B5,2))+1,1)-1-G128))</f>
        <v/>
      </c>
      <c r="K128">
        <f>IF(A128="","",IF(AND(AND('控制台'!B4&lt;&gt;"",'控制台'!B5&lt;&gt;"",'控制台'!B4='刷新信息'!B6,'控制台'!B5='刷新信息'!B8),A128='控制台'!B4,B128='控制台'!B5,OR(C128="应收",C128="应付"),COUNTIFS('往来余额'!A5:A6000,C128,'往来余额'!B5:B6000,D128)=1,E128&lt;&gt;"",COUNTIFS(A$5:A$504,A128,B$5:B$504,B128,C$5:C$504,C128,D$5:D$504,D128,E$5:E$504,E128)=1,ISNUMBER(F128),I128&gt;=0,ISNUMBER(H128),H128&gt;=0),"纳入","待核实"))</f>
        <v/>
      </c>
    </row>
    <row r="129">
      <c r="A129" s="13" t="n"/>
      <c r="B129" s="13" t="n"/>
      <c r="C129" s="13" t="n"/>
      <c r="D129" s="13" t="n"/>
      <c r="E129" s="13" t="n"/>
      <c r="F129" s="19" t="n"/>
      <c r="G129" s="19" t="n"/>
      <c r="H129" s="15" t="n"/>
      <c r="I129">
        <f>IF(OR(A129&lt;&gt; '控制台'!B4,B129&lt;&gt; '控制台'!B5,F129=""),"",DATE(VALUE(LEFT('控制台'!B5,4)),VALUE(RIGHT('控制台'!B5,2))+1,1)-1-F129)</f>
        <v/>
      </c>
      <c r="J129">
        <f>IF(OR(A129&lt;&gt; '控制台'!B4,B129&lt;&gt; '控制台'!B5,G129=""),"",MAX(0,DATE(VALUE(LEFT('控制台'!B5,4)),VALUE(RIGHT('控制台'!B5,2))+1,1)-1-G129))</f>
        <v/>
      </c>
      <c r="K129">
        <f>IF(A129="","",IF(AND(AND('控制台'!B4&lt;&gt;"",'控制台'!B5&lt;&gt;"",'控制台'!B4='刷新信息'!B6,'控制台'!B5='刷新信息'!B8),A129='控制台'!B4,B129='控制台'!B5,OR(C129="应收",C129="应付"),COUNTIFS('往来余额'!A5:A6000,C129,'往来余额'!B5:B6000,D129)=1,E129&lt;&gt;"",COUNTIFS(A$5:A$504,A129,B$5:B$504,B129,C$5:C$504,C129,D$5:D$504,D129,E$5:E$504,E129)=1,ISNUMBER(F129),I129&gt;=0,ISNUMBER(H129),H129&gt;=0),"纳入","待核实"))</f>
        <v/>
      </c>
    </row>
    <row r="130">
      <c r="A130" s="13" t="n"/>
      <c r="B130" s="13" t="n"/>
      <c r="C130" s="13" t="n"/>
      <c r="D130" s="13" t="n"/>
      <c r="E130" s="13" t="n"/>
      <c r="F130" s="19" t="n"/>
      <c r="G130" s="19" t="n"/>
      <c r="H130" s="15" t="n"/>
      <c r="I130">
        <f>IF(OR(A130&lt;&gt; '控制台'!B4,B130&lt;&gt; '控制台'!B5,F130=""),"",DATE(VALUE(LEFT('控制台'!B5,4)),VALUE(RIGHT('控制台'!B5,2))+1,1)-1-F130)</f>
        <v/>
      </c>
      <c r="J130">
        <f>IF(OR(A130&lt;&gt; '控制台'!B4,B130&lt;&gt; '控制台'!B5,G130=""),"",MAX(0,DATE(VALUE(LEFT('控制台'!B5,4)),VALUE(RIGHT('控制台'!B5,2))+1,1)-1-G130))</f>
        <v/>
      </c>
      <c r="K130">
        <f>IF(A130="","",IF(AND(AND('控制台'!B4&lt;&gt;"",'控制台'!B5&lt;&gt;"",'控制台'!B4='刷新信息'!B6,'控制台'!B5='刷新信息'!B8),A130='控制台'!B4,B130='控制台'!B5,OR(C130="应收",C130="应付"),COUNTIFS('往来余额'!A5:A6000,C130,'往来余额'!B5:B6000,D130)=1,E130&lt;&gt;"",COUNTIFS(A$5:A$504,A130,B$5:B$504,B130,C$5:C$504,C130,D$5:D$504,D130,E$5:E$504,E130)=1,ISNUMBER(F130),I130&gt;=0,ISNUMBER(H130),H130&gt;=0),"纳入","待核实"))</f>
        <v/>
      </c>
    </row>
    <row r="131">
      <c r="A131" s="13" t="n"/>
      <c r="B131" s="13" t="n"/>
      <c r="C131" s="13" t="n"/>
      <c r="D131" s="13" t="n"/>
      <c r="E131" s="13" t="n"/>
      <c r="F131" s="19" t="n"/>
      <c r="G131" s="19" t="n"/>
      <c r="H131" s="15" t="n"/>
      <c r="I131">
        <f>IF(OR(A131&lt;&gt; '控制台'!B4,B131&lt;&gt; '控制台'!B5,F131=""),"",DATE(VALUE(LEFT('控制台'!B5,4)),VALUE(RIGHT('控制台'!B5,2))+1,1)-1-F131)</f>
        <v/>
      </c>
      <c r="J131">
        <f>IF(OR(A131&lt;&gt; '控制台'!B4,B131&lt;&gt; '控制台'!B5,G131=""),"",MAX(0,DATE(VALUE(LEFT('控制台'!B5,4)),VALUE(RIGHT('控制台'!B5,2))+1,1)-1-G131))</f>
        <v/>
      </c>
      <c r="K131">
        <f>IF(A131="","",IF(AND(AND('控制台'!B4&lt;&gt;"",'控制台'!B5&lt;&gt;"",'控制台'!B4='刷新信息'!B6,'控制台'!B5='刷新信息'!B8),A131='控制台'!B4,B131='控制台'!B5,OR(C131="应收",C131="应付"),COUNTIFS('往来余额'!A5:A6000,C131,'往来余额'!B5:B6000,D131)=1,E131&lt;&gt;"",COUNTIFS(A$5:A$504,A131,B$5:B$504,B131,C$5:C$504,C131,D$5:D$504,D131,E$5:E$504,E131)=1,ISNUMBER(F131),I131&gt;=0,ISNUMBER(H131),H131&gt;=0),"纳入","待核实"))</f>
        <v/>
      </c>
    </row>
    <row r="132">
      <c r="A132" s="13" t="n"/>
      <c r="B132" s="13" t="n"/>
      <c r="C132" s="13" t="n"/>
      <c r="D132" s="13" t="n"/>
      <c r="E132" s="13" t="n"/>
      <c r="F132" s="19" t="n"/>
      <c r="G132" s="19" t="n"/>
      <c r="H132" s="15" t="n"/>
      <c r="I132">
        <f>IF(OR(A132&lt;&gt; '控制台'!B4,B132&lt;&gt; '控制台'!B5,F132=""),"",DATE(VALUE(LEFT('控制台'!B5,4)),VALUE(RIGHT('控制台'!B5,2))+1,1)-1-F132)</f>
        <v/>
      </c>
      <c r="J132">
        <f>IF(OR(A132&lt;&gt; '控制台'!B4,B132&lt;&gt; '控制台'!B5,G132=""),"",MAX(0,DATE(VALUE(LEFT('控制台'!B5,4)),VALUE(RIGHT('控制台'!B5,2))+1,1)-1-G132))</f>
        <v/>
      </c>
      <c r="K132">
        <f>IF(A132="","",IF(AND(AND('控制台'!B4&lt;&gt;"",'控制台'!B5&lt;&gt;"",'控制台'!B4='刷新信息'!B6,'控制台'!B5='刷新信息'!B8),A132='控制台'!B4,B132='控制台'!B5,OR(C132="应收",C132="应付"),COUNTIFS('往来余额'!A5:A6000,C132,'往来余额'!B5:B6000,D132)=1,E132&lt;&gt;"",COUNTIFS(A$5:A$504,A132,B$5:B$504,B132,C$5:C$504,C132,D$5:D$504,D132,E$5:E$504,E132)=1,ISNUMBER(F132),I132&gt;=0,ISNUMBER(H132),H132&gt;=0),"纳入","待核实"))</f>
        <v/>
      </c>
    </row>
    <row r="133">
      <c r="A133" s="13" t="n"/>
      <c r="B133" s="13" t="n"/>
      <c r="C133" s="13" t="n"/>
      <c r="D133" s="13" t="n"/>
      <c r="E133" s="13" t="n"/>
      <c r="F133" s="19" t="n"/>
      <c r="G133" s="19" t="n"/>
      <c r="H133" s="15" t="n"/>
      <c r="I133">
        <f>IF(OR(A133&lt;&gt; '控制台'!B4,B133&lt;&gt; '控制台'!B5,F133=""),"",DATE(VALUE(LEFT('控制台'!B5,4)),VALUE(RIGHT('控制台'!B5,2))+1,1)-1-F133)</f>
        <v/>
      </c>
      <c r="J133">
        <f>IF(OR(A133&lt;&gt; '控制台'!B4,B133&lt;&gt; '控制台'!B5,G133=""),"",MAX(0,DATE(VALUE(LEFT('控制台'!B5,4)),VALUE(RIGHT('控制台'!B5,2))+1,1)-1-G133))</f>
        <v/>
      </c>
      <c r="K133">
        <f>IF(A133="","",IF(AND(AND('控制台'!B4&lt;&gt;"",'控制台'!B5&lt;&gt;"",'控制台'!B4='刷新信息'!B6,'控制台'!B5='刷新信息'!B8),A133='控制台'!B4,B133='控制台'!B5,OR(C133="应收",C133="应付"),COUNTIFS('往来余额'!A5:A6000,C133,'往来余额'!B5:B6000,D133)=1,E133&lt;&gt;"",COUNTIFS(A$5:A$504,A133,B$5:B$504,B133,C$5:C$504,C133,D$5:D$504,D133,E$5:E$504,E133)=1,ISNUMBER(F133),I133&gt;=0,ISNUMBER(H133),H133&gt;=0),"纳入","待核实"))</f>
        <v/>
      </c>
    </row>
    <row r="134">
      <c r="A134" s="13" t="n"/>
      <c r="B134" s="13" t="n"/>
      <c r="C134" s="13" t="n"/>
      <c r="D134" s="13" t="n"/>
      <c r="E134" s="13" t="n"/>
      <c r="F134" s="19" t="n"/>
      <c r="G134" s="19" t="n"/>
      <c r="H134" s="15" t="n"/>
      <c r="I134">
        <f>IF(OR(A134&lt;&gt; '控制台'!B4,B134&lt;&gt; '控制台'!B5,F134=""),"",DATE(VALUE(LEFT('控制台'!B5,4)),VALUE(RIGHT('控制台'!B5,2))+1,1)-1-F134)</f>
        <v/>
      </c>
      <c r="J134">
        <f>IF(OR(A134&lt;&gt; '控制台'!B4,B134&lt;&gt; '控制台'!B5,G134=""),"",MAX(0,DATE(VALUE(LEFT('控制台'!B5,4)),VALUE(RIGHT('控制台'!B5,2))+1,1)-1-G134))</f>
        <v/>
      </c>
      <c r="K134">
        <f>IF(A134="","",IF(AND(AND('控制台'!B4&lt;&gt;"",'控制台'!B5&lt;&gt;"",'控制台'!B4='刷新信息'!B6,'控制台'!B5='刷新信息'!B8),A134='控制台'!B4,B134='控制台'!B5,OR(C134="应收",C134="应付"),COUNTIFS('往来余额'!A5:A6000,C134,'往来余额'!B5:B6000,D134)=1,E134&lt;&gt;"",COUNTIFS(A$5:A$504,A134,B$5:B$504,B134,C$5:C$504,C134,D$5:D$504,D134,E$5:E$504,E134)=1,ISNUMBER(F134),I134&gt;=0,ISNUMBER(H134),H134&gt;=0),"纳入","待核实"))</f>
        <v/>
      </c>
    </row>
    <row r="135">
      <c r="A135" s="13" t="n"/>
      <c r="B135" s="13" t="n"/>
      <c r="C135" s="13" t="n"/>
      <c r="D135" s="13" t="n"/>
      <c r="E135" s="13" t="n"/>
      <c r="F135" s="19" t="n"/>
      <c r="G135" s="19" t="n"/>
      <c r="H135" s="15" t="n"/>
      <c r="I135">
        <f>IF(OR(A135&lt;&gt; '控制台'!B4,B135&lt;&gt; '控制台'!B5,F135=""),"",DATE(VALUE(LEFT('控制台'!B5,4)),VALUE(RIGHT('控制台'!B5,2))+1,1)-1-F135)</f>
        <v/>
      </c>
      <c r="J135">
        <f>IF(OR(A135&lt;&gt; '控制台'!B4,B135&lt;&gt; '控制台'!B5,G135=""),"",MAX(0,DATE(VALUE(LEFT('控制台'!B5,4)),VALUE(RIGHT('控制台'!B5,2))+1,1)-1-G135))</f>
        <v/>
      </c>
      <c r="K135">
        <f>IF(A135="","",IF(AND(AND('控制台'!B4&lt;&gt;"",'控制台'!B5&lt;&gt;"",'控制台'!B4='刷新信息'!B6,'控制台'!B5='刷新信息'!B8),A135='控制台'!B4,B135='控制台'!B5,OR(C135="应收",C135="应付"),COUNTIFS('往来余额'!A5:A6000,C135,'往来余额'!B5:B6000,D135)=1,E135&lt;&gt;"",COUNTIFS(A$5:A$504,A135,B$5:B$504,B135,C$5:C$504,C135,D$5:D$504,D135,E$5:E$504,E135)=1,ISNUMBER(F135),I135&gt;=0,ISNUMBER(H135),H135&gt;=0),"纳入","待核实"))</f>
        <v/>
      </c>
    </row>
    <row r="136">
      <c r="A136" s="13" t="n"/>
      <c r="B136" s="13" t="n"/>
      <c r="C136" s="13" t="n"/>
      <c r="D136" s="13" t="n"/>
      <c r="E136" s="13" t="n"/>
      <c r="F136" s="19" t="n"/>
      <c r="G136" s="19" t="n"/>
      <c r="H136" s="15" t="n"/>
      <c r="I136">
        <f>IF(OR(A136&lt;&gt; '控制台'!B4,B136&lt;&gt; '控制台'!B5,F136=""),"",DATE(VALUE(LEFT('控制台'!B5,4)),VALUE(RIGHT('控制台'!B5,2))+1,1)-1-F136)</f>
        <v/>
      </c>
      <c r="J136">
        <f>IF(OR(A136&lt;&gt; '控制台'!B4,B136&lt;&gt; '控制台'!B5,G136=""),"",MAX(0,DATE(VALUE(LEFT('控制台'!B5,4)),VALUE(RIGHT('控制台'!B5,2))+1,1)-1-G136))</f>
        <v/>
      </c>
      <c r="K136">
        <f>IF(A136="","",IF(AND(AND('控制台'!B4&lt;&gt;"",'控制台'!B5&lt;&gt;"",'控制台'!B4='刷新信息'!B6,'控制台'!B5='刷新信息'!B8),A136='控制台'!B4,B136='控制台'!B5,OR(C136="应收",C136="应付"),COUNTIFS('往来余额'!A5:A6000,C136,'往来余额'!B5:B6000,D136)=1,E136&lt;&gt;"",COUNTIFS(A$5:A$504,A136,B$5:B$504,B136,C$5:C$504,C136,D$5:D$504,D136,E$5:E$504,E136)=1,ISNUMBER(F136),I136&gt;=0,ISNUMBER(H136),H136&gt;=0),"纳入","待核实"))</f>
        <v/>
      </c>
    </row>
    <row r="137">
      <c r="A137" s="13" t="n"/>
      <c r="B137" s="13" t="n"/>
      <c r="C137" s="13" t="n"/>
      <c r="D137" s="13" t="n"/>
      <c r="E137" s="13" t="n"/>
      <c r="F137" s="19" t="n"/>
      <c r="G137" s="19" t="n"/>
      <c r="H137" s="15" t="n"/>
      <c r="I137">
        <f>IF(OR(A137&lt;&gt; '控制台'!B4,B137&lt;&gt; '控制台'!B5,F137=""),"",DATE(VALUE(LEFT('控制台'!B5,4)),VALUE(RIGHT('控制台'!B5,2))+1,1)-1-F137)</f>
        <v/>
      </c>
      <c r="J137">
        <f>IF(OR(A137&lt;&gt; '控制台'!B4,B137&lt;&gt; '控制台'!B5,G137=""),"",MAX(0,DATE(VALUE(LEFT('控制台'!B5,4)),VALUE(RIGHT('控制台'!B5,2))+1,1)-1-G137))</f>
        <v/>
      </c>
      <c r="K137">
        <f>IF(A137="","",IF(AND(AND('控制台'!B4&lt;&gt;"",'控制台'!B5&lt;&gt;"",'控制台'!B4='刷新信息'!B6,'控制台'!B5='刷新信息'!B8),A137='控制台'!B4,B137='控制台'!B5,OR(C137="应收",C137="应付"),COUNTIFS('往来余额'!A5:A6000,C137,'往来余额'!B5:B6000,D137)=1,E137&lt;&gt;"",COUNTIFS(A$5:A$504,A137,B$5:B$504,B137,C$5:C$504,C137,D$5:D$504,D137,E$5:E$504,E137)=1,ISNUMBER(F137),I137&gt;=0,ISNUMBER(H137),H137&gt;=0),"纳入","待核实"))</f>
        <v/>
      </c>
    </row>
    <row r="138">
      <c r="A138" s="13" t="n"/>
      <c r="B138" s="13" t="n"/>
      <c r="C138" s="13" t="n"/>
      <c r="D138" s="13" t="n"/>
      <c r="E138" s="13" t="n"/>
      <c r="F138" s="19" t="n"/>
      <c r="G138" s="19" t="n"/>
      <c r="H138" s="15" t="n"/>
      <c r="I138">
        <f>IF(OR(A138&lt;&gt; '控制台'!B4,B138&lt;&gt; '控制台'!B5,F138=""),"",DATE(VALUE(LEFT('控制台'!B5,4)),VALUE(RIGHT('控制台'!B5,2))+1,1)-1-F138)</f>
        <v/>
      </c>
      <c r="J138">
        <f>IF(OR(A138&lt;&gt; '控制台'!B4,B138&lt;&gt; '控制台'!B5,G138=""),"",MAX(0,DATE(VALUE(LEFT('控制台'!B5,4)),VALUE(RIGHT('控制台'!B5,2))+1,1)-1-G138))</f>
        <v/>
      </c>
      <c r="K138">
        <f>IF(A138="","",IF(AND(AND('控制台'!B4&lt;&gt;"",'控制台'!B5&lt;&gt;"",'控制台'!B4='刷新信息'!B6,'控制台'!B5='刷新信息'!B8),A138='控制台'!B4,B138='控制台'!B5,OR(C138="应收",C138="应付"),COUNTIFS('往来余额'!A5:A6000,C138,'往来余额'!B5:B6000,D138)=1,E138&lt;&gt;"",COUNTIFS(A$5:A$504,A138,B$5:B$504,B138,C$5:C$504,C138,D$5:D$504,D138,E$5:E$504,E138)=1,ISNUMBER(F138),I138&gt;=0,ISNUMBER(H138),H138&gt;=0),"纳入","待核实"))</f>
        <v/>
      </c>
    </row>
    <row r="139">
      <c r="A139" s="13" t="n"/>
      <c r="B139" s="13" t="n"/>
      <c r="C139" s="13" t="n"/>
      <c r="D139" s="13" t="n"/>
      <c r="E139" s="13" t="n"/>
      <c r="F139" s="19" t="n"/>
      <c r="G139" s="19" t="n"/>
      <c r="H139" s="15" t="n"/>
      <c r="I139">
        <f>IF(OR(A139&lt;&gt; '控制台'!B4,B139&lt;&gt; '控制台'!B5,F139=""),"",DATE(VALUE(LEFT('控制台'!B5,4)),VALUE(RIGHT('控制台'!B5,2))+1,1)-1-F139)</f>
        <v/>
      </c>
      <c r="J139">
        <f>IF(OR(A139&lt;&gt; '控制台'!B4,B139&lt;&gt; '控制台'!B5,G139=""),"",MAX(0,DATE(VALUE(LEFT('控制台'!B5,4)),VALUE(RIGHT('控制台'!B5,2))+1,1)-1-G139))</f>
        <v/>
      </c>
      <c r="K139">
        <f>IF(A139="","",IF(AND(AND('控制台'!B4&lt;&gt;"",'控制台'!B5&lt;&gt;"",'控制台'!B4='刷新信息'!B6,'控制台'!B5='刷新信息'!B8),A139='控制台'!B4,B139='控制台'!B5,OR(C139="应收",C139="应付"),COUNTIFS('往来余额'!A5:A6000,C139,'往来余额'!B5:B6000,D139)=1,E139&lt;&gt;"",COUNTIFS(A$5:A$504,A139,B$5:B$504,B139,C$5:C$504,C139,D$5:D$504,D139,E$5:E$504,E139)=1,ISNUMBER(F139),I139&gt;=0,ISNUMBER(H139),H139&gt;=0),"纳入","待核实"))</f>
        <v/>
      </c>
    </row>
    <row r="140">
      <c r="A140" s="13" t="n"/>
      <c r="B140" s="13" t="n"/>
      <c r="C140" s="13" t="n"/>
      <c r="D140" s="13" t="n"/>
      <c r="E140" s="13" t="n"/>
      <c r="F140" s="19" t="n"/>
      <c r="G140" s="19" t="n"/>
      <c r="H140" s="15" t="n"/>
      <c r="I140">
        <f>IF(OR(A140&lt;&gt; '控制台'!B4,B140&lt;&gt; '控制台'!B5,F140=""),"",DATE(VALUE(LEFT('控制台'!B5,4)),VALUE(RIGHT('控制台'!B5,2))+1,1)-1-F140)</f>
        <v/>
      </c>
      <c r="J140">
        <f>IF(OR(A140&lt;&gt; '控制台'!B4,B140&lt;&gt; '控制台'!B5,G140=""),"",MAX(0,DATE(VALUE(LEFT('控制台'!B5,4)),VALUE(RIGHT('控制台'!B5,2))+1,1)-1-G140))</f>
        <v/>
      </c>
      <c r="K140">
        <f>IF(A140="","",IF(AND(AND('控制台'!B4&lt;&gt;"",'控制台'!B5&lt;&gt;"",'控制台'!B4='刷新信息'!B6,'控制台'!B5='刷新信息'!B8),A140='控制台'!B4,B140='控制台'!B5,OR(C140="应收",C140="应付"),COUNTIFS('往来余额'!A5:A6000,C140,'往来余额'!B5:B6000,D140)=1,E140&lt;&gt;"",COUNTIFS(A$5:A$504,A140,B$5:B$504,B140,C$5:C$504,C140,D$5:D$504,D140,E$5:E$504,E140)=1,ISNUMBER(F140),I140&gt;=0,ISNUMBER(H140),H140&gt;=0),"纳入","待核实"))</f>
        <v/>
      </c>
    </row>
    <row r="141">
      <c r="A141" s="13" t="n"/>
      <c r="B141" s="13" t="n"/>
      <c r="C141" s="13" t="n"/>
      <c r="D141" s="13" t="n"/>
      <c r="E141" s="13" t="n"/>
      <c r="F141" s="19" t="n"/>
      <c r="G141" s="19" t="n"/>
      <c r="H141" s="15" t="n"/>
      <c r="I141">
        <f>IF(OR(A141&lt;&gt; '控制台'!B4,B141&lt;&gt; '控制台'!B5,F141=""),"",DATE(VALUE(LEFT('控制台'!B5,4)),VALUE(RIGHT('控制台'!B5,2))+1,1)-1-F141)</f>
        <v/>
      </c>
      <c r="J141">
        <f>IF(OR(A141&lt;&gt; '控制台'!B4,B141&lt;&gt; '控制台'!B5,G141=""),"",MAX(0,DATE(VALUE(LEFT('控制台'!B5,4)),VALUE(RIGHT('控制台'!B5,2))+1,1)-1-G141))</f>
        <v/>
      </c>
      <c r="K141">
        <f>IF(A141="","",IF(AND(AND('控制台'!B4&lt;&gt;"",'控制台'!B5&lt;&gt;"",'控制台'!B4='刷新信息'!B6,'控制台'!B5='刷新信息'!B8),A141='控制台'!B4,B141='控制台'!B5,OR(C141="应收",C141="应付"),COUNTIFS('往来余额'!A5:A6000,C141,'往来余额'!B5:B6000,D141)=1,E141&lt;&gt;"",COUNTIFS(A$5:A$504,A141,B$5:B$504,B141,C$5:C$504,C141,D$5:D$504,D141,E$5:E$504,E141)=1,ISNUMBER(F141),I141&gt;=0,ISNUMBER(H141),H141&gt;=0),"纳入","待核实"))</f>
        <v/>
      </c>
    </row>
    <row r="142">
      <c r="A142" s="13" t="n"/>
      <c r="B142" s="13" t="n"/>
      <c r="C142" s="13" t="n"/>
      <c r="D142" s="13" t="n"/>
      <c r="E142" s="13" t="n"/>
      <c r="F142" s="19" t="n"/>
      <c r="G142" s="19" t="n"/>
      <c r="H142" s="15" t="n"/>
      <c r="I142">
        <f>IF(OR(A142&lt;&gt; '控制台'!B4,B142&lt;&gt; '控制台'!B5,F142=""),"",DATE(VALUE(LEFT('控制台'!B5,4)),VALUE(RIGHT('控制台'!B5,2))+1,1)-1-F142)</f>
        <v/>
      </c>
      <c r="J142">
        <f>IF(OR(A142&lt;&gt; '控制台'!B4,B142&lt;&gt; '控制台'!B5,G142=""),"",MAX(0,DATE(VALUE(LEFT('控制台'!B5,4)),VALUE(RIGHT('控制台'!B5,2))+1,1)-1-G142))</f>
        <v/>
      </c>
      <c r="K142">
        <f>IF(A142="","",IF(AND(AND('控制台'!B4&lt;&gt;"",'控制台'!B5&lt;&gt;"",'控制台'!B4='刷新信息'!B6,'控制台'!B5='刷新信息'!B8),A142='控制台'!B4,B142='控制台'!B5,OR(C142="应收",C142="应付"),COUNTIFS('往来余额'!A5:A6000,C142,'往来余额'!B5:B6000,D142)=1,E142&lt;&gt;"",COUNTIFS(A$5:A$504,A142,B$5:B$504,B142,C$5:C$504,C142,D$5:D$504,D142,E$5:E$504,E142)=1,ISNUMBER(F142),I142&gt;=0,ISNUMBER(H142),H142&gt;=0),"纳入","待核实"))</f>
        <v/>
      </c>
    </row>
    <row r="143">
      <c r="A143" s="13" t="n"/>
      <c r="B143" s="13" t="n"/>
      <c r="C143" s="13" t="n"/>
      <c r="D143" s="13" t="n"/>
      <c r="E143" s="13" t="n"/>
      <c r="F143" s="19" t="n"/>
      <c r="G143" s="19" t="n"/>
      <c r="H143" s="15" t="n"/>
      <c r="I143">
        <f>IF(OR(A143&lt;&gt; '控制台'!B4,B143&lt;&gt; '控制台'!B5,F143=""),"",DATE(VALUE(LEFT('控制台'!B5,4)),VALUE(RIGHT('控制台'!B5,2))+1,1)-1-F143)</f>
        <v/>
      </c>
      <c r="J143">
        <f>IF(OR(A143&lt;&gt; '控制台'!B4,B143&lt;&gt; '控制台'!B5,G143=""),"",MAX(0,DATE(VALUE(LEFT('控制台'!B5,4)),VALUE(RIGHT('控制台'!B5,2))+1,1)-1-G143))</f>
        <v/>
      </c>
      <c r="K143">
        <f>IF(A143="","",IF(AND(AND('控制台'!B4&lt;&gt;"",'控制台'!B5&lt;&gt;"",'控制台'!B4='刷新信息'!B6,'控制台'!B5='刷新信息'!B8),A143='控制台'!B4,B143='控制台'!B5,OR(C143="应收",C143="应付"),COUNTIFS('往来余额'!A5:A6000,C143,'往来余额'!B5:B6000,D143)=1,E143&lt;&gt;"",COUNTIFS(A$5:A$504,A143,B$5:B$504,B143,C$5:C$504,C143,D$5:D$504,D143,E$5:E$504,E143)=1,ISNUMBER(F143),I143&gt;=0,ISNUMBER(H143),H143&gt;=0),"纳入","待核实"))</f>
        <v/>
      </c>
    </row>
    <row r="144">
      <c r="A144" s="13" t="n"/>
      <c r="B144" s="13" t="n"/>
      <c r="C144" s="13" t="n"/>
      <c r="D144" s="13" t="n"/>
      <c r="E144" s="13" t="n"/>
      <c r="F144" s="19" t="n"/>
      <c r="G144" s="19" t="n"/>
      <c r="H144" s="15" t="n"/>
      <c r="I144">
        <f>IF(OR(A144&lt;&gt; '控制台'!B4,B144&lt;&gt; '控制台'!B5,F144=""),"",DATE(VALUE(LEFT('控制台'!B5,4)),VALUE(RIGHT('控制台'!B5,2))+1,1)-1-F144)</f>
        <v/>
      </c>
      <c r="J144">
        <f>IF(OR(A144&lt;&gt; '控制台'!B4,B144&lt;&gt; '控制台'!B5,G144=""),"",MAX(0,DATE(VALUE(LEFT('控制台'!B5,4)),VALUE(RIGHT('控制台'!B5,2))+1,1)-1-G144))</f>
        <v/>
      </c>
      <c r="K144">
        <f>IF(A144="","",IF(AND(AND('控制台'!B4&lt;&gt;"",'控制台'!B5&lt;&gt;"",'控制台'!B4='刷新信息'!B6,'控制台'!B5='刷新信息'!B8),A144='控制台'!B4,B144='控制台'!B5,OR(C144="应收",C144="应付"),COUNTIFS('往来余额'!A5:A6000,C144,'往来余额'!B5:B6000,D144)=1,E144&lt;&gt;"",COUNTIFS(A$5:A$504,A144,B$5:B$504,B144,C$5:C$504,C144,D$5:D$504,D144,E$5:E$504,E144)=1,ISNUMBER(F144),I144&gt;=0,ISNUMBER(H144),H144&gt;=0),"纳入","待核实"))</f>
        <v/>
      </c>
    </row>
    <row r="145">
      <c r="A145" s="13" t="n"/>
      <c r="B145" s="13" t="n"/>
      <c r="C145" s="13" t="n"/>
      <c r="D145" s="13" t="n"/>
      <c r="E145" s="13" t="n"/>
      <c r="F145" s="19" t="n"/>
      <c r="G145" s="19" t="n"/>
      <c r="H145" s="15" t="n"/>
      <c r="I145">
        <f>IF(OR(A145&lt;&gt; '控制台'!B4,B145&lt;&gt; '控制台'!B5,F145=""),"",DATE(VALUE(LEFT('控制台'!B5,4)),VALUE(RIGHT('控制台'!B5,2))+1,1)-1-F145)</f>
        <v/>
      </c>
      <c r="J145">
        <f>IF(OR(A145&lt;&gt; '控制台'!B4,B145&lt;&gt; '控制台'!B5,G145=""),"",MAX(0,DATE(VALUE(LEFT('控制台'!B5,4)),VALUE(RIGHT('控制台'!B5,2))+1,1)-1-G145))</f>
        <v/>
      </c>
      <c r="K145">
        <f>IF(A145="","",IF(AND(AND('控制台'!B4&lt;&gt;"",'控制台'!B5&lt;&gt;"",'控制台'!B4='刷新信息'!B6,'控制台'!B5='刷新信息'!B8),A145='控制台'!B4,B145='控制台'!B5,OR(C145="应收",C145="应付"),COUNTIFS('往来余额'!A5:A6000,C145,'往来余额'!B5:B6000,D145)=1,E145&lt;&gt;"",COUNTIFS(A$5:A$504,A145,B$5:B$504,B145,C$5:C$504,C145,D$5:D$504,D145,E$5:E$504,E145)=1,ISNUMBER(F145),I145&gt;=0,ISNUMBER(H145),H145&gt;=0),"纳入","待核实"))</f>
        <v/>
      </c>
    </row>
    <row r="146">
      <c r="A146" s="13" t="n"/>
      <c r="B146" s="13" t="n"/>
      <c r="C146" s="13" t="n"/>
      <c r="D146" s="13" t="n"/>
      <c r="E146" s="13" t="n"/>
      <c r="F146" s="19" t="n"/>
      <c r="G146" s="19" t="n"/>
      <c r="H146" s="15" t="n"/>
      <c r="I146">
        <f>IF(OR(A146&lt;&gt; '控制台'!B4,B146&lt;&gt; '控制台'!B5,F146=""),"",DATE(VALUE(LEFT('控制台'!B5,4)),VALUE(RIGHT('控制台'!B5,2))+1,1)-1-F146)</f>
        <v/>
      </c>
      <c r="J146">
        <f>IF(OR(A146&lt;&gt; '控制台'!B4,B146&lt;&gt; '控制台'!B5,G146=""),"",MAX(0,DATE(VALUE(LEFT('控制台'!B5,4)),VALUE(RIGHT('控制台'!B5,2))+1,1)-1-G146))</f>
        <v/>
      </c>
      <c r="K146">
        <f>IF(A146="","",IF(AND(AND('控制台'!B4&lt;&gt;"",'控制台'!B5&lt;&gt;"",'控制台'!B4='刷新信息'!B6,'控制台'!B5='刷新信息'!B8),A146='控制台'!B4,B146='控制台'!B5,OR(C146="应收",C146="应付"),COUNTIFS('往来余额'!A5:A6000,C146,'往来余额'!B5:B6000,D146)=1,E146&lt;&gt;"",COUNTIFS(A$5:A$504,A146,B$5:B$504,B146,C$5:C$504,C146,D$5:D$504,D146,E$5:E$504,E146)=1,ISNUMBER(F146),I146&gt;=0,ISNUMBER(H146),H146&gt;=0),"纳入","待核实"))</f>
        <v/>
      </c>
    </row>
    <row r="147">
      <c r="A147" s="13" t="n"/>
      <c r="B147" s="13" t="n"/>
      <c r="C147" s="13" t="n"/>
      <c r="D147" s="13" t="n"/>
      <c r="E147" s="13" t="n"/>
      <c r="F147" s="19" t="n"/>
      <c r="G147" s="19" t="n"/>
      <c r="H147" s="15" t="n"/>
      <c r="I147">
        <f>IF(OR(A147&lt;&gt; '控制台'!B4,B147&lt;&gt; '控制台'!B5,F147=""),"",DATE(VALUE(LEFT('控制台'!B5,4)),VALUE(RIGHT('控制台'!B5,2))+1,1)-1-F147)</f>
        <v/>
      </c>
      <c r="J147">
        <f>IF(OR(A147&lt;&gt; '控制台'!B4,B147&lt;&gt; '控制台'!B5,G147=""),"",MAX(0,DATE(VALUE(LEFT('控制台'!B5,4)),VALUE(RIGHT('控制台'!B5,2))+1,1)-1-G147))</f>
        <v/>
      </c>
      <c r="K147">
        <f>IF(A147="","",IF(AND(AND('控制台'!B4&lt;&gt;"",'控制台'!B5&lt;&gt;"",'控制台'!B4='刷新信息'!B6,'控制台'!B5='刷新信息'!B8),A147='控制台'!B4,B147='控制台'!B5,OR(C147="应收",C147="应付"),COUNTIFS('往来余额'!A5:A6000,C147,'往来余额'!B5:B6000,D147)=1,E147&lt;&gt;"",COUNTIFS(A$5:A$504,A147,B$5:B$504,B147,C$5:C$504,C147,D$5:D$504,D147,E$5:E$504,E147)=1,ISNUMBER(F147),I147&gt;=0,ISNUMBER(H147),H147&gt;=0),"纳入","待核实"))</f>
        <v/>
      </c>
    </row>
    <row r="148">
      <c r="A148" s="13" t="n"/>
      <c r="B148" s="13" t="n"/>
      <c r="C148" s="13" t="n"/>
      <c r="D148" s="13" t="n"/>
      <c r="E148" s="13" t="n"/>
      <c r="F148" s="19" t="n"/>
      <c r="G148" s="19" t="n"/>
      <c r="H148" s="15" t="n"/>
      <c r="I148">
        <f>IF(OR(A148&lt;&gt; '控制台'!B4,B148&lt;&gt; '控制台'!B5,F148=""),"",DATE(VALUE(LEFT('控制台'!B5,4)),VALUE(RIGHT('控制台'!B5,2))+1,1)-1-F148)</f>
        <v/>
      </c>
      <c r="J148">
        <f>IF(OR(A148&lt;&gt; '控制台'!B4,B148&lt;&gt; '控制台'!B5,G148=""),"",MAX(0,DATE(VALUE(LEFT('控制台'!B5,4)),VALUE(RIGHT('控制台'!B5,2))+1,1)-1-G148))</f>
        <v/>
      </c>
      <c r="K148">
        <f>IF(A148="","",IF(AND(AND('控制台'!B4&lt;&gt;"",'控制台'!B5&lt;&gt;"",'控制台'!B4='刷新信息'!B6,'控制台'!B5='刷新信息'!B8),A148='控制台'!B4,B148='控制台'!B5,OR(C148="应收",C148="应付"),COUNTIFS('往来余额'!A5:A6000,C148,'往来余额'!B5:B6000,D148)=1,E148&lt;&gt;"",COUNTIFS(A$5:A$504,A148,B$5:B$504,B148,C$5:C$504,C148,D$5:D$504,D148,E$5:E$504,E148)=1,ISNUMBER(F148),I148&gt;=0,ISNUMBER(H148),H148&gt;=0),"纳入","待核实"))</f>
        <v/>
      </c>
    </row>
    <row r="149">
      <c r="A149" s="13" t="n"/>
      <c r="B149" s="13" t="n"/>
      <c r="C149" s="13" t="n"/>
      <c r="D149" s="13" t="n"/>
      <c r="E149" s="13" t="n"/>
      <c r="F149" s="19" t="n"/>
      <c r="G149" s="19" t="n"/>
      <c r="H149" s="15" t="n"/>
      <c r="I149">
        <f>IF(OR(A149&lt;&gt; '控制台'!B4,B149&lt;&gt; '控制台'!B5,F149=""),"",DATE(VALUE(LEFT('控制台'!B5,4)),VALUE(RIGHT('控制台'!B5,2))+1,1)-1-F149)</f>
        <v/>
      </c>
      <c r="J149">
        <f>IF(OR(A149&lt;&gt; '控制台'!B4,B149&lt;&gt; '控制台'!B5,G149=""),"",MAX(0,DATE(VALUE(LEFT('控制台'!B5,4)),VALUE(RIGHT('控制台'!B5,2))+1,1)-1-G149))</f>
        <v/>
      </c>
      <c r="K149">
        <f>IF(A149="","",IF(AND(AND('控制台'!B4&lt;&gt;"",'控制台'!B5&lt;&gt;"",'控制台'!B4='刷新信息'!B6,'控制台'!B5='刷新信息'!B8),A149='控制台'!B4,B149='控制台'!B5,OR(C149="应收",C149="应付"),COUNTIFS('往来余额'!A5:A6000,C149,'往来余额'!B5:B6000,D149)=1,E149&lt;&gt;"",COUNTIFS(A$5:A$504,A149,B$5:B$504,B149,C$5:C$504,C149,D$5:D$504,D149,E$5:E$504,E149)=1,ISNUMBER(F149),I149&gt;=0,ISNUMBER(H149),H149&gt;=0),"纳入","待核实"))</f>
        <v/>
      </c>
    </row>
    <row r="150">
      <c r="A150" s="13" t="n"/>
      <c r="B150" s="13" t="n"/>
      <c r="C150" s="13" t="n"/>
      <c r="D150" s="13" t="n"/>
      <c r="E150" s="13" t="n"/>
      <c r="F150" s="19" t="n"/>
      <c r="G150" s="19" t="n"/>
      <c r="H150" s="15" t="n"/>
      <c r="I150">
        <f>IF(OR(A150&lt;&gt; '控制台'!B4,B150&lt;&gt; '控制台'!B5,F150=""),"",DATE(VALUE(LEFT('控制台'!B5,4)),VALUE(RIGHT('控制台'!B5,2))+1,1)-1-F150)</f>
        <v/>
      </c>
      <c r="J150">
        <f>IF(OR(A150&lt;&gt; '控制台'!B4,B150&lt;&gt; '控制台'!B5,G150=""),"",MAX(0,DATE(VALUE(LEFT('控制台'!B5,4)),VALUE(RIGHT('控制台'!B5,2))+1,1)-1-G150))</f>
        <v/>
      </c>
      <c r="K150">
        <f>IF(A150="","",IF(AND(AND('控制台'!B4&lt;&gt;"",'控制台'!B5&lt;&gt;"",'控制台'!B4='刷新信息'!B6,'控制台'!B5='刷新信息'!B8),A150='控制台'!B4,B150='控制台'!B5,OR(C150="应收",C150="应付"),COUNTIFS('往来余额'!A5:A6000,C150,'往来余额'!B5:B6000,D150)=1,E150&lt;&gt;"",COUNTIFS(A$5:A$504,A150,B$5:B$504,B150,C$5:C$504,C150,D$5:D$504,D150,E$5:E$504,E150)=1,ISNUMBER(F150),I150&gt;=0,ISNUMBER(H150),H150&gt;=0),"纳入","待核实"))</f>
        <v/>
      </c>
    </row>
    <row r="151">
      <c r="A151" s="13" t="n"/>
      <c r="B151" s="13" t="n"/>
      <c r="C151" s="13" t="n"/>
      <c r="D151" s="13" t="n"/>
      <c r="E151" s="13" t="n"/>
      <c r="F151" s="19" t="n"/>
      <c r="G151" s="19" t="n"/>
      <c r="H151" s="15" t="n"/>
      <c r="I151">
        <f>IF(OR(A151&lt;&gt; '控制台'!B4,B151&lt;&gt; '控制台'!B5,F151=""),"",DATE(VALUE(LEFT('控制台'!B5,4)),VALUE(RIGHT('控制台'!B5,2))+1,1)-1-F151)</f>
        <v/>
      </c>
      <c r="J151">
        <f>IF(OR(A151&lt;&gt; '控制台'!B4,B151&lt;&gt; '控制台'!B5,G151=""),"",MAX(0,DATE(VALUE(LEFT('控制台'!B5,4)),VALUE(RIGHT('控制台'!B5,2))+1,1)-1-G151))</f>
        <v/>
      </c>
      <c r="K151">
        <f>IF(A151="","",IF(AND(AND('控制台'!B4&lt;&gt;"",'控制台'!B5&lt;&gt;"",'控制台'!B4='刷新信息'!B6,'控制台'!B5='刷新信息'!B8),A151='控制台'!B4,B151='控制台'!B5,OR(C151="应收",C151="应付"),COUNTIFS('往来余额'!A5:A6000,C151,'往来余额'!B5:B6000,D151)=1,E151&lt;&gt;"",COUNTIFS(A$5:A$504,A151,B$5:B$504,B151,C$5:C$504,C151,D$5:D$504,D151,E$5:E$504,E151)=1,ISNUMBER(F151),I151&gt;=0,ISNUMBER(H151),H151&gt;=0),"纳入","待核实"))</f>
        <v/>
      </c>
    </row>
    <row r="152">
      <c r="A152" s="13" t="n"/>
      <c r="B152" s="13" t="n"/>
      <c r="C152" s="13" t="n"/>
      <c r="D152" s="13" t="n"/>
      <c r="E152" s="13" t="n"/>
      <c r="F152" s="19" t="n"/>
      <c r="G152" s="19" t="n"/>
      <c r="H152" s="15" t="n"/>
      <c r="I152">
        <f>IF(OR(A152&lt;&gt; '控制台'!B4,B152&lt;&gt; '控制台'!B5,F152=""),"",DATE(VALUE(LEFT('控制台'!B5,4)),VALUE(RIGHT('控制台'!B5,2))+1,1)-1-F152)</f>
        <v/>
      </c>
      <c r="J152">
        <f>IF(OR(A152&lt;&gt; '控制台'!B4,B152&lt;&gt; '控制台'!B5,G152=""),"",MAX(0,DATE(VALUE(LEFT('控制台'!B5,4)),VALUE(RIGHT('控制台'!B5,2))+1,1)-1-G152))</f>
        <v/>
      </c>
      <c r="K152">
        <f>IF(A152="","",IF(AND(AND('控制台'!B4&lt;&gt;"",'控制台'!B5&lt;&gt;"",'控制台'!B4='刷新信息'!B6,'控制台'!B5='刷新信息'!B8),A152='控制台'!B4,B152='控制台'!B5,OR(C152="应收",C152="应付"),COUNTIFS('往来余额'!A5:A6000,C152,'往来余额'!B5:B6000,D152)=1,E152&lt;&gt;"",COUNTIFS(A$5:A$504,A152,B$5:B$504,B152,C$5:C$504,C152,D$5:D$504,D152,E$5:E$504,E152)=1,ISNUMBER(F152),I152&gt;=0,ISNUMBER(H152),H152&gt;=0),"纳入","待核实"))</f>
        <v/>
      </c>
    </row>
    <row r="153">
      <c r="A153" s="13" t="n"/>
      <c r="B153" s="13" t="n"/>
      <c r="C153" s="13" t="n"/>
      <c r="D153" s="13" t="n"/>
      <c r="E153" s="13" t="n"/>
      <c r="F153" s="19" t="n"/>
      <c r="G153" s="19" t="n"/>
      <c r="H153" s="15" t="n"/>
      <c r="I153">
        <f>IF(OR(A153&lt;&gt; '控制台'!B4,B153&lt;&gt; '控制台'!B5,F153=""),"",DATE(VALUE(LEFT('控制台'!B5,4)),VALUE(RIGHT('控制台'!B5,2))+1,1)-1-F153)</f>
        <v/>
      </c>
      <c r="J153">
        <f>IF(OR(A153&lt;&gt; '控制台'!B4,B153&lt;&gt; '控制台'!B5,G153=""),"",MAX(0,DATE(VALUE(LEFT('控制台'!B5,4)),VALUE(RIGHT('控制台'!B5,2))+1,1)-1-G153))</f>
        <v/>
      </c>
      <c r="K153">
        <f>IF(A153="","",IF(AND(AND('控制台'!B4&lt;&gt;"",'控制台'!B5&lt;&gt;"",'控制台'!B4='刷新信息'!B6,'控制台'!B5='刷新信息'!B8),A153='控制台'!B4,B153='控制台'!B5,OR(C153="应收",C153="应付"),COUNTIFS('往来余额'!A5:A6000,C153,'往来余额'!B5:B6000,D153)=1,E153&lt;&gt;"",COUNTIFS(A$5:A$504,A153,B$5:B$504,B153,C$5:C$504,C153,D$5:D$504,D153,E$5:E$504,E153)=1,ISNUMBER(F153),I153&gt;=0,ISNUMBER(H153),H153&gt;=0),"纳入","待核实"))</f>
        <v/>
      </c>
    </row>
    <row r="154">
      <c r="A154" s="13" t="n"/>
      <c r="B154" s="13" t="n"/>
      <c r="C154" s="13" t="n"/>
      <c r="D154" s="13" t="n"/>
      <c r="E154" s="13" t="n"/>
      <c r="F154" s="19" t="n"/>
      <c r="G154" s="19" t="n"/>
      <c r="H154" s="15" t="n"/>
      <c r="I154">
        <f>IF(OR(A154&lt;&gt; '控制台'!B4,B154&lt;&gt; '控制台'!B5,F154=""),"",DATE(VALUE(LEFT('控制台'!B5,4)),VALUE(RIGHT('控制台'!B5,2))+1,1)-1-F154)</f>
        <v/>
      </c>
      <c r="J154">
        <f>IF(OR(A154&lt;&gt; '控制台'!B4,B154&lt;&gt; '控制台'!B5,G154=""),"",MAX(0,DATE(VALUE(LEFT('控制台'!B5,4)),VALUE(RIGHT('控制台'!B5,2))+1,1)-1-G154))</f>
        <v/>
      </c>
      <c r="K154">
        <f>IF(A154="","",IF(AND(AND('控制台'!B4&lt;&gt;"",'控制台'!B5&lt;&gt;"",'控制台'!B4='刷新信息'!B6,'控制台'!B5='刷新信息'!B8),A154='控制台'!B4,B154='控制台'!B5,OR(C154="应收",C154="应付"),COUNTIFS('往来余额'!A5:A6000,C154,'往来余额'!B5:B6000,D154)=1,E154&lt;&gt;"",COUNTIFS(A$5:A$504,A154,B$5:B$504,B154,C$5:C$504,C154,D$5:D$504,D154,E$5:E$504,E154)=1,ISNUMBER(F154),I154&gt;=0,ISNUMBER(H154),H154&gt;=0),"纳入","待核实"))</f>
        <v/>
      </c>
    </row>
    <row r="155">
      <c r="A155" s="13" t="n"/>
      <c r="B155" s="13" t="n"/>
      <c r="C155" s="13" t="n"/>
      <c r="D155" s="13" t="n"/>
      <c r="E155" s="13" t="n"/>
      <c r="F155" s="19" t="n"/>
      <c r="G155" s="19" t="n"/>
      <c r="H155" s="15" t="n"/>
      <c r="I155">
        <f>IF(OR(A155&lt;&gt; '控制台'!B4,B155&lt;&gt; '控制台'!B5,F155=""),"",DATE(VALUE(LEFT('控制台'!B5,4)),VALUE(RIGHT('控制台'!B5,2))+1,1)-1-F155)</f>
        <v/>
      </c>
      <c r="J155">
        <f>IF(OR(A155&lt;&gt; '控制台'!B4,B155&lt;&gt; '控制台'!B5,G155=""),"",MAX(0,DATE(VALUE(LEFT('控制台'!B5,4)),VALUE(RIGHT('控制台'!B5,2))+1,1)-1-G155))</f>
        <v/>
      </c>
      <c r="K155">
        <f>IF(A155="","",IF(AND(AND('控制台'!B4&lt;&gt;"",'控制台'!B5&lt;&gt;"",'控制台'!B4='刷新信息'!B6,'控制台'!B5='刷新信息'!B8),A155='控制台'!B4,B155='控制台'!B5,OR(C155="应收",C155="应付"),COUNTIFS('往来余额'!A5:A6000,C155,'往来余额'!B5:B6000,D155)=1,E155&lt;&gt;"",COUNTIFS(A$5:A$504,A155,B$5:B$504,B155,C$5:C$504,C155,D$5:D$504,D155,E$5:E$504,E155)=1,ISNUMBER(F155),I155&gt;=0,ISNUMBER(H155),H155&gt;=0),"纳入","待核实"))</f>
        <v/>
      </c>
    </row>
    <row r="156">
      <c r="A156" s="13" t="n"/>
      <c r="B156" s="13" t="n"/>
      <c r="C156" s="13" t="n"/>
      <c r="D156" s="13" t="n"/>
      <c r="E156" s="13" t="n"/>
      <c r="F156" s="19" t="n"/>
      <c r="G156" s="19" t="n"/>
      <c r="H156" s="15" t="n"/>
      <c r="I156">
        <f>IF(OR(A156&lt;&gt; '控制台'!B4,B156&lt;&gt; '控制台'!B5,F156=""),"",DATE(VALUE(LEFT('控制台'!B5,4)),VALUE(RIGHT('控制台'!B5,2))+1,1)-1-F156)</f>
        <v/>
      </c>
      <c r="J156">
        <f>IF(OR(A156&lt;&gt; '控制台'!B4,B156&lt;&gt; '控制台'!B5,G156=""),"",MAX(0,DATE(VALUE(LEFT('控制台'!B5,4)),VALUE(RIGHT('控制台'!B5,2))+1,1)-1-G156))</f>
        <v/>
      </c>
      <c r="K156">
        <f>IF(A156="","",IF(AND(AND('控制台'!B4&lt;&gt;"",'控制台'!B5&lt;&gt;"",'控制台'!B4='刷新信息'!B6,'控制台'!B5='刷新信息'!B8),A156='控制台'!B4,B156='控制台'!B5,OR(C156="应收",C156="应付"),COUNTIFS('往来余额'!A5:A6000,C156,'往来余额'!B5:B6000,D156)=1,E156&lt;&gt;"",COUNTIFS(A$5:A$504,A156,B$5:B$504,B156,C$5:C$504,C156,D$5:D$504,D156,E$5:E$504,E156)=1,ISNUMBER(F156),I156&gt;=0,ISNUMBER(H156),H156&gt;=0),"纳入","待核实"))</f>
        <v/>
      </c>
    </row>
    <row r="157">
      <c r="A157" s="13" t="n"/>
      <c r="B157" s="13" t="n"/>
      <c r="C157" s="13" t="n"/>
      <c r="D157" s="13" t="n"/>
      <c r="E157" s="13" t="n"/>
      <c r="F157" s="19" t="n"/>
      <c r="G157" s="19" t="n"/>
      <c r="H157" s="15" t="n"/>
      <c r="I157">
        <f>IF(OR(A157&lt;&gt; '控制台'!B4,B157&lt;&gt; '控制台'!B5,F157=""),"",DATE(VALUE(LEFT('控制台'!B5,4)),VALUE(RIGHT('控制台'!B5,2))+1,1)-1-F157)</f>
        <v/>
      </c>
      <c r="J157">
        <f>IF(OR(A157&lt;&gt; '控制台'!B4,B157&lt;&gt; '控制台'!B5,G157=""),"",MAX(0,DATE(VALUE(LEFT('控制台'!B5,4)),VALUE(RIGHT('控制台'!B5,2))+1,1)-1-G157))</f>
        <v/>
      </c>
      <c r="K157">
        <f>IF(A157="","",IF(AND(AND('控制台'!B4&lt;&gt;"",'控制台'!B5&lt;&gt;"",'控制台'!B4='刷新信息'!B6,'控制台'!B5='刷新信息'!B8),A157='控制台'!B4,B157='控制台'!B5,OR(C157="应收",C157="应付"),COUNTIFS('往来余额'!A5:A6000,C157,'往来余额'!B5:B6000,D157)=1,E157&lt;&gt;"",COUNTIFS(A$5:A$504,A157,B$5:B$504,B157,C$5:C$504,C157,D$5:D$504,D157,E$5:E$504,E157)=1,ISNUMBER(F157),I157&gt;=0,ISNUMBER(H157),H157&gt;=0),"纳入","待核实"))</f>
        <v/>
      </c>
    </row>
    <row r="158">
      <c r="A158" s="13" t="n"/>
      <c r="B158" s="13" t="n"/>
      <c r="C158" s="13" t="n"/>
      <c r="D158" s="13" t="n"/>
      <c r="E158" s="13" t="n"/>
      <c r="F158" s="19" t="n"/>
      <c r="G158" s="19" t="n"/>
      <c r="H158" s="15" t="n"/>
      <c r="I158">
        <f>IF(OR(A158&lt;&gt; '控制台'!B4,B158&lt;&gt; '控制台'!B5,F158=""),"",DATE(VALUE(LEFT('控制台'!B5,4)),VALUE(RIGHT('控制台'!B5,2))+1,1)-1-F158)</f>
        <v/>
      </c>
      <c r="J158">
        <f>IF(OR(A158&lt;&gt; '控制台'!B4,B158&lt;&gt; '控制台'!B5,G158=""),"",MAX(0,DATE(VALUE(LEFT('控制台'!B5,4)),VALUE(RIGHT('控制台'!B5,2))+1,1)-1-G158))</f>
        <v/>
      </c>
      <c r="K158">
        <f>IF(A158="","",IF(AND(AND('控制台'!B4&lt;&gt;"",'控制台'!B5&lt;&gt;"",'控制台'!B4='刷新信息'!B6,'控制台'!B5='刷新信息'!B8),A158='控制台'!B4,B158='控制台'!B5,OR(C158="应收",C158="应付"),COUNTIFS('往来余额'!A5:A6000,C158,'往来余额'!B5:B6000,D158)=1,E158&lt;&gt;"",COUNTIFS(A$5:A$504,A158,B$5:B$504,B158,C$5:C$504,C158,D$5:D$504,D158,E$5:E$504,E158)=1,ISNUMBER(F158),I158&gt;=0,ISNUMBER(H158),H158&gt;=0),"纳入","待核实"))</f>
        <v/>
      </c>
    </row>
    <row r="159">
      <c r="A159" s="13" t="n"/>
      <c r="B159" s="13" t="n"/>
      <c r="C159" s="13" t="n"/>
      <c r="D159" s="13" t="n"/>
      <c r="E159" s="13" t="n"/>
      <c r="F159" s="19" t="n"/>
      <c r="G159" s="19" t="n"/>
      <c r="H159" s="15" t="n"/>
      <c r="I159">
        <f>IF(OR(A159&lt;&gt; '控制台'!B4,B159&lt;&gt; '控制台'!B5,F159=""),"",DATE(VALUE(LEFT('控制台'!B5,4)),VALUE(RIGHT('控制台'!B5,2))+1,1)-1-F159)</f>
        <v/>
      </c>
      <c r="J159">
        <f>IF(OR(A159&lt;&gt; '控制台'!B4,B159&lt;&gt; '控制台'!B5,G159=""),"",MAX(0,DATE(VALUE(LEFT('控制台'!B5,4)),VALUE(RIGHT('控制台'!B5,2))+1,1)-1-G159))</f>
        <v/>
      </c>
      <c r="K159">
        <f>IF(A159="","",IF(AND(AND('控制台'!B4&lt;&gt;"",'控制台'!B5&lt;&gt;"",'控制台'!B4='刷新信息'!B6,'控制台'!B5='刷新信息'!B8),A159='控制台'!B4,B159='控制台'!B5,OR(C159="应收",C159="应付"),COUNTIFS('往来余额'!A5:A6000,C159,'往来余额'!B5:B6000,D159)=1,E159&lt;&gt;"",COUNTIFS(A$5:A$504,A159,B$5:B$504,B159,C$5:C$504,C159,D$5:D$504,D159,E$5:E$504,E159)=1,ISNUMBER(F159),I159&gt;=0,ISNUMBER(H159),H159&gt;=0),"纳入","待核实"))</f>
        <v/>
      </c>
    </row>
    <row r="160">
      <c r="A160" s="13" t="n"/>
      <c r="B160" s="13" t="n"/>
      <c r="C160" s="13" t="n"/>
      <c r="D160" s="13" t="n"/>
      <c r="E160" s="13" t="n"/>
      <c r="F160" s="19" t="n"/>
      <c r="G160" s="19" t="n"/>
      <c r="H160" s="15" t="n"/>
      <c r="I160">
        <f>IF(OR(A160&lt;&gt; '控制台'!B4,B160&lt;&gt; '控制台'!B5,F160=""),"",DATE(VALUE(LEFT('控制台'!B5,4)),VALUE(RIGHT('控制台'!B5,2))+1,1)-1-F160)</f>
        <v/>
      </c>
      <c r="J160">
        <f>IF(OR(A160&lt;&gt; '控制台'!B4,B160&lt;&gt; '控制台'!B5,G160=""),"",MAX(0,DATE(VALUE(LEFT('控制台'!B5,4)),VALUE(RIGHT('控制台'!B5,2))+1,1)-1-G160))</f>
        <v/>
      </c>
      <c r="K160">
        <f>IF(A160="","",IF(AND(AND('控制台'!B4&lt;&gt;"",'控制台'!B5&lt;&gt;"",'控制台'!B4='刷新信息'!B6,'控制台'!B5='刷新信息'!B8),A160='控制台'!B4,B160='控制台'!B5,OR(C160="应收",C160="应付"),COUNTIFS('往来余额'!A5:A6000,C160,'往来余额'!B5:B6000,D160)=1,E160&lt;&gt;"",COUNTIFS(A$5:A$504,A160,B$5:B$504,B160,C$5:C$504,C160,D$5:D$504,D160,E$5:E$504,E160)=1,ISNUMBER(F160),I160&gt;=0,ISNUMBER(H160),H160&gt;=0),"纳入","待核实"))</f>
        <v/>
      </c>
    </row>
    <row r="161">
      <c r="A161" s="13" t="n"/>
      <c r="B161" s="13" t="n"/>
      <c r="C161" s="13" t="n"/>
      <c r="D161" s="13" t="n"/>
      <c r="E161" s="13" t="n"/>
      <c r="F161" s="19" t="n"/>
      <c r="G161" s="19" t="n"/>
      <c r="H161" s="15" t="n"/>
      <c r="I161">
        <f>IF(OR(A161&lt;&gt; '控制台'!B4,B161&lt;&gt; '控制台'!B5,F161=""),"",DATE(VALUE(LEFT('控制台'!B5,4)),VALUE(RIGHT('控制台'!B5,2))+1,1)-1-F161)</f>
        <v/>
      </c>
      <c r="J161">
        <f>IF(OR(A161&lt;&gt; '控制台'!B4,B161&lt;&gt; '控制台'!B5,G161=""),"",MAX(0,DATE(VALUE(LEFT('控制台'!B5,4)),VALUE(RIGHT('控制台'!B5,2))+1,1)-1-G161))</f>
        <v/>
      </c>
      <c r="K161">
        <f>IF(A161="","",IF(AND(AND('控制台'!B4&lt;&gt;"",'控制台'!B5&lt;&gt;"",'控制台'!B4='刷新信息'!B6,'控制台'!B5='刷新信息'!B8),A161='控制台'!B4,B161='控制台'!B5,OR(C161="应收",C161="应付"),COUNTIFS('往来余额'!A5:A6000,C161,'往来余额'!B5:B6000,D161)=1,E161&lt;&gt;"",COUNTIFS(A$5:A$504,A161,B$5:B$504,B161,C$5:C$504,C161,D$5:D$504,D161,E$5:E$504,E161)=1,ISNUMBER(F161),I161&gt;=0,ISNUMBER(H161),H161&gt;=0),"纳入","待核实"))</f>
        <v/>
      </c>
    </row>
    <row r="162">
      <c r="A162" s="13" t="n"/>
      <c r="B162" s="13" t="n"/>
      <c r="C162" s="13" t="n"/>
      <c r="D162" s="13" t="n"/>
      <c r="E162" s="13" t="n"/>
      <c r="F162" s="19" t="n"/>
      <c r="G162" s="19" t="n"/>
      <c r="H162" s="15" t="n"/>
      <c r="I162">
        <f>IF(OR(A162&lt;&gt; '控制台'!B4,B162&lt;&gt; '控制台'!B5,F162=""),"",DATE(VALUE(LEFT('控制台'!B5,4)),VALUE(RIGHT('控制台'!B5,2))+1,1)-1-F162)</f>
        <v/>
      </c>
      <c r="J162">
        <f>IF(OR(A162&lt;&gt; '控制台'!B4,B162&lt;&gt; '控制台'!B5,G162=""),"",MAX(0,DATE(VALUE(LEFT('控制台'!B5,4)),VALUE(RIGHT('控制台'!B5,2))+1,1)-1-G162))</f>
        <v/>
      </c>
      <c r="K162">
        <f>IF(A162="","",IF(AND(AND('控制台'!B4&lt;&gt;"",'控制台'!B5&lt;&gt;"",'控制台'!B4='刷新信息'!B6,'控制台'!B5='刷新信息'!B8),A162='控制台'!B4,B162='控制台'!B5,OR(C162="应收",C162="应付"),COUNTIFS('往来余额'!A5:A6000,C162,'往来余额'!B5:B6000,D162)=1,E162&lt;&gt;"",COUNTIFS(A$5:A$504,A162,B$5:B$504,B162,C$5:C$504,C162,D$5:D$504,D162,E$5:E$504,E162)=1,ISNUMBER(F162),I162&gt;=0,ISNUMBER(H162),H162&gt;=0),"纳入","待核实"))</f>
        <v/>
      </c>
    </row>
    <row r="163">
      <c r="A163" s="13" t="n"/>
      <c r="B163" s="13" t="n"/>
      <c r="C163" s="13" t="n"/>
      <c r="D163" s="13" t="n"/>
      <c r="E163" s="13" t="n"/>
      <c r="F163" s="19" t="n"/>
      <c r="G163" s="19" t="n"/>
      <c r="H163" s="15" t="n"/>
      <c r="I163">
        <f>IF(OR(A163&lt;&gt; '控制台'!B4,B163&lt;&gt; '控制台'!B5,F163=""),"",DATE(VALUE(LEFT('控制台'!B5,4)),VALUE(RIGHT('控制台'!B5,2))+1,1)-1-F163)</f>
        <v/>
      </c>
      <c r="J163">
        <f>IF(OR(A163&lt;&gt; '控制台'!B4,B163&lt;&gt; '控制台'!B5,G163=""),"",MAX(0,DATE(VALUE(LEFT('控制台'!B5,4)),VALUE(RIGHT('控制台'!B5,2))+1,1)-1-G163))</f>
        <v/>
      </c>
      <c r="K163">
        <f>IF(A163="","",IF(AND(AND('控制台'!B4&lt;&gt;"",'控制台'!B5&lt;&gt;"",'控制台'!B4='刷新信息'!B6,'控制台'!B5='刷新信息'!B8),A163='控制台'!B4,B163='控制台'!B5,OR(C163="应收",C163="应付"),COUNTIFS('往来余额'!A5:A6000,C163,'往来余额'!B5:B6000,D163)=1,E163&lt;&gt;"",COUNTIFS(A$5:A$504,A163,B$5:B$504,B163,C$5:C$504,C163,D$5:D$504,D163,E$5:E$504,E163)=1,ISNUMBER(F163),I163&gt;=0,ISNUMBER(H163),H163&gt;=0),"纳入","待核实"))</f>
        <v/>
      </c>
    </row>
    <row r="164">
      <c r="A164" s="13" t="n"/>
      <c r="B164" s="13" t="n"/>
      <c r="C164" s="13" t="n"/>
      <c r="D164" s="13" t="n"/>
      <c r="E164" s="13" t="n"/>
      <c r="F164" s="19" t="n"/>
      <c r="G164" s="19" t="n"/>
      <c r="H164" s="15" t="n"/>
      <c r="I164">
        <f>IF(OR(A164&lt;&gt; '控制台'!B4,B164&lt;&gt; '控制台'!B5,F164=""),"",DATE(VALUE(LEFT('控制台'!B5,4)),VALUE(RIGHT('控制台'!B5,2))+1,1)-1-F164)</f>
        <v/>
      </c>
      <c r="J164">
        <f>IF(OR(A164&lt;&gt; '控制台'!B4,B164&lt;&gt; '控制台'!B5,G164=""),"",MAX(0,DATE(VALUE(LEFT('控制台'!B5,4)),VALUE(RIGHT('控制台'!B5,2))+1,1)-1-G164))</f>
        <v/>
      </c>
      <c r="K164">
        <f>IF(A164="","",IF(AND(AND('控制台'!B4&lt;&gt;"",'控制台'!B5&lt;&gt;"",'控制台'!B4='刷新信息'!B6,'控制台'!B5='刷新信息'!B8),A164='控制台'!B4,B164='控制台'!B5,OR(C164="应收",C164="应付"),COUNTIFS('往来余额'!A5:A6000,C164,'往来余额'!B5:B6000,D164)=1,E164&lt;&gt;"",COUNTIFS(A$5:A$504,A164,B$5:B$504,B164,C$5:C$504,C164,D$5:D$504,D164,E$5:E$504,E164)=1,ISNUMBER(F164),I164&gt;=0,ISNUMBER(H164),H164&gt;=0),"纳入","待核实"))</f>
        <v/>
      </c>
    </row>
    <row r="165">
      <c r="A165" s="13" t="n"/>
      <c r="B165" s="13" t="n"/>
      <c r="C165" s="13" t="n"/>
      <c r="D165" s="13" t="n"/>
      <c r="E165" s="13" t="n"/>
      <c r="F165" s="19" t="n"/>
      <c r="G165" s="19" t="n"/>
      <c r="H165" s="15" t="n"/>
      <c r="I165">
        <f>IF(OR(A165&lt;&gt; '控制台'!B4,B165&lt;&gt; '控制台'!B5,F165=""),"",DATE(VALUE(LEFT('控制台'!B5,4)),VALUE(RIGHT('控制台'!B5,2))+1,1)-1-F165)</f>
        <v/>
      </c>
      <c r="J165">
        <f>IF(OR(A165&lt;&gt; '控制台'!B4,B165&lt;&gt; '控制台'!B5,G165=""),"",MAX(0,DATE(VALUE(LEFT('控制台'!B5,4)),VALUE(RIGHT('控制台'!B5,2))+1,1)-1-G165))</f>
        <v/>
      </c>
      <c r="K165">
        <f>IF(A165="","",IF(AND(AND('控制台'!B4&lt;&gt;"",'控制台'!B5&lt;&gt;"",'控制台'!B4='刷新信息'!B6,'控制台'!B5='刷新信息'!B8),A165='控制台'!B4,B165='控制台'!B5,OR(C165="应收",C165="应付"),COUNTIFS('往来余额'!A5:A6000,C165,'往来余额'!B5:B6000,D165)=1,E165&lt;&gt;"",COUNTIFS(A$5:A$504,A165,B$5:B$504,B165,C$5:C$504,C165,D$5:D$504,D165,E$5:E$504,E165)=1,ISNUMBER(F165),I165&gt;=0,ISNUMBER(H165),H165&gt;=0),"纳入","待核实"))</f>
        <v/>
      </c>
    </row>
    <row r="166">
      <c r="A166" s="13" t="n"/>
      <c r="B166" s="13" t="n"/>
      <c r="C166" s="13" t="n"/>
      <c r="D166" s="13" t="n"/>
      <c r="E166" s="13" t="n"/>
      <c r="F166" s="19" t="n"/>
      <c r="G166" s="19" t="n"/>
      <c r="H166" s="15" t="n"/>
      <c r="I166">
        <f>IF(OR(A166&lt;&gt; '控制台'!B4,B166&lt;&gt; '控制台'!B5,F166=""),"",DATE(VALUE(LEFT('控制台'!B5,4)),VALUE(RIGHT('控制台'!B5,2))+1,1)-1-F166)</f>
        <v/>
      </c>
      <c r="J166">
        <f>IF(OR(A166&lt;&gt; '控制台'!B4,B166&lt;&gt; '控制台'!B5,G166=""),"",MAX(0,DATE(VALUE(LEFT('控制台'!B5,4)),VALUE(RIGHT('控制台'!B5,2))+1,1)-1-G166))</f>
        <v/>
      </c>
      <c r="K166">
        <f>IF(A166="","",IF(AND(AND('控制台'!B4&lt;&gt;"",'控制台'!B5&lt;&gt;"",'控制台'!B4='刷新信息'!B6,'控制台'!B5='刷新信息'!B8),A166='控制台'!B4,B166='控制台'!B5,OR(C166="应收",C166="应付"),COUNTIFS('往来余额'!A5:A6000,C166,'往来余额'!B5:B6000,D166)=1,E166&lt;&gt;"",COUNTIFS(A$5:A$504,A166,B$5:B$504,B166,C$5:C$504,C166,D$5:D$504,D166,E$5:E$504,E166)=1,ISNUMBER(F166),I166&gt;=0,ISNUMBER(H166),H166&gt;=0),"纳入","待核实"))</f>
        <v/>
      </c>
    </row>
    <row r="167">
      <c r="A167" s="13" t="n"/>
      <c r="B167" s="13" t="n"/>
      <c r="C167" s="13" t="n"/>
      <c r="D167" s="13" t="n"/>
      <c r="E167" s="13" t="n"/>
      <c r="F167" s="19" t="n"/>
      <c r="G167" s="19" t="n"/>
      <c r="H167" s="15" t="n"/>
      <c r="I167">
        <f>IF(OR(A167&lt;&gt; '控制台'!B4,B167&lt;&gt; '控制台'!B5,F167=""),"",DATE(VALUE(LEFT('控制台'!B5,4)),VALUE(RIGHT('控制台'!B5,2))+1,1)-1-F167)</f>
        <v/>
      </c>
      <c r="J167">
        <f>IF(OR(A167&lt;&gt; '控制台'!B4,B167&lt;&gt; '控制台'!B5,G167=""),"",MAX(0,DATE(VALUE(LEFT('控制台'!B5,4)),VALUE(RIGHT('控制台'!B5,2))+1,1)-1-G167))</f>
        <v/>
      </c>
      <c r="K167">
        <f>IF(A167="","",IF(AND(AND('控制台'!B4&lt;&gt;"",'控制台'!B5&lt;&gt;"",'控制台'!B4='刷新信息'!B6,'控制台'!B5='刷新信息'!B8),A167='控制台'!B4,B167='控制台'!B5,OR(C167="应收",C167="应付"),COUNTIFS('往来余额'!A5:A6000,C167,'往来余额'!B5:B6000,D167)=1,E167&lt;&gt;"",COUNTIFS(A$5:A$504,A167,B$5:B$504,B167,C$5:C$504,C167,D$5:D$504,D167,E$5:E$504,E167)=1,ISNUMBER(F167),I167&gt;=0,ISNUMBER(H167),H167&gt;=0),"纳入","待核实"))</f>
        <v/>
      </c>
    </row>
    <row r="168">
      <c r="A168" s="13" t="n"/>
      <c r="B168" s="13" t="n"/>
      <c r="C168" s="13" t="n"/>
      <c r="D168" s="13" t="n"/>
      <c r="E168" s="13" t="n"/>
      <c r="F168" s="19" t="n"/>
      <c r="G168" s="19" t="n"/>
      <c r="H168" s="15" t="n"/>
      <c r="I168">
        <f>IF(OR(A168&lt;&gt; '控制台'!B4,B168&lt;&gt; '控制台'!B5,F168=""),"",DATE(VALUE(LEFT('控制台'!B5,4)),VALUE(RIGHT('控制台'!B5,2))+1,1)-1-F168)</f>
        <v/>
      </c>
      <c r="J168">
        <f>IF(OR(A168&lt;&gt; '控制台'!B4,B168&lt;&gt; '控制台'!B5,G168=""),"",MAX(0,DATE(VALUE(LEFT('控制台'!B5,4)),VALUE(RIGHT('控制台'!B5,2))+1,1)-1-G168))</f>
        <v/>
      </c>
      <c r="K168">
        <f>IF(A168="","",IF(AND(AND('控制台'!B4&lt;&gt;"",'控制台'!B5&lt;&gt;"",'控制台'!B4='刷新信息'!B6,'控制台'!B5='刷新信息'!B8),A168='控制台'!B4,B168='控制台'!B5,OR(C168="应收",C168="应付"),COUNTIFS('往来余额'!A5:A6000,C168,'往来余额'!B5:B6000,D168)=1,E168&lt;&gt;"",COUNTIFS(A$5:A$504,A168,B$5:B$504,B168,C$5:C$504,C168,D$5:D$504,D168,E$5:E$504,E168)=1,ISNUMBER(F168),I168&gt;=0,ISNUMBER(H168),H168&gt;=0),"纳入","待核实"))</f>
        <v/>
      </c>
    </row>
    <row r="169">
      <c r="A169" s="13" t="n"/>
      <c r="B169" s="13" t="n"/>
      <c r="C169" s="13" t="n"/>
      <c r="D169" s="13" t="n"/>
      <c r="E169" s="13" t="n"/>
      <c r="F169" s="19" t="n"/>
      <c r="G169" s="19" t="n"/>
      <c r="H169" s="15" t="n"/>
      <c r="I169">
        <f>IF(OR(A169&lt;&gt; '控制台'!B4,B169&lt;&gt; '控制台'!B5,F169=""),"",DATE(VALUE(LEFT('控制台'!B5,4)),VALUE(RIGHT('控制台'!B5,2))+1,1)-1-F169)</f>
        <v/>
      </c>
      <c r="J169">
        <f>IF(OR(A169&lt;&gt; '控制台'!B4,B169&lt;&gt; '控制台'!B5,G169=""),"",MAX(0,DATE(VALUE(LEFT('控制台'!B5,4)),VALUE(RIGHT('控制台'!B5,2))+1,1)-1-G169))</f>
        <v/>
      </c>
      <c r="K169">
        <f>IF(A169="","",IF(AND(AND('控制台'!B4&lt;&gt;"",'控制台'!B5&lt;&gt;"",'控制台'!B4='刷新信息'!B6,'控制台'!B5='刷新信息'!B8),A169='控制台'!B4,B169='控制台'!B5,OR(C169="应收",C169="应付"),COUNTIFS('往来余额'!A5:A6000,C169,'往来余额'!B5:B6000,D169)=1,E169&lt;&gt;"",COUNTIFS(A$5:A$504,A169,B$5:B$504,B169,C$5:C$504,C169,D$5:D$504,D169,E$5:E$504,E169)=1,ISNUMBER(F169),I169&gt;=0,ISNUMBER(H169),H169&gt;=0),"纳入","待核实"))</f>
        <v/>
      </c>
    </row>
    <row r="170">
      <c r="A170" s="13" t="n"/>
      <c r="B170" s="13" t="n"/>
      <c r="C170" s="13" t="n"/>
      <c r="D170" s="13" t="n"/>
      <c r="E170" s="13" t="n"/>
      <c r="F170" s="19" t="n"/>
      <c r="G170" s="19" t="n"/>
      <c r="H170" s="15" t="n"/>
      <c r="I170">
        <f>IF(OR(A170&lt;&gt; '控制台'!B4,B170&lt;&gt; '控制台'!B5,F170=""),"",DATE(VALUE(LEFT('控制台'!B5,4)),VALUE(RIGHT('控制台'!B5,2))+1,1)-1-F170)</f>
        <v/>
      </c>
      <c r="J170">
        <f>IF(OR(A170&lt;&gt; '控制台'!B4,B170&lt;&gt; '控制台'!B5,G170=""),"",MAX(0,DATE(VALUE(LEFT('控制台'!B5,4)),VALUE(RIGHT('控制台'!B5,2))+1,1)-1-G170))</f>
        <v/>
      </c>
      <c r="K170">
        <f>IF(A170="","",IF(AND(AND('控制台'!B4&lt;&gt;"",'控制台'!B5&lt;&gt;"",'控制台'!B4='刷新信息'!B6,'控制台'!B5='刷新信息'!B8),A170='控制台'!B4,B170='控制台'!B5,OR(C170="应收",C170="应付"),COUNTIFS('往来余额'!A5:A6000,C170,'往来余额'!B5:B6000,D170)=1,E170&lt;&gt;"",COUNTIFS(A$5:A$504,A170,B$5:B$504,B170,C$5:C$504,C170,D$5:D$504,D170,E$5:E$504,E170)=1,ISNUMBER(F170),I170&gt;=0,ISNUMBER(H170),H170&gt;=0),"纳入","待核实"))</f>
        <v/>
      </c>
    </row>
    <row r="171">
      <c r="A171" s="13" t="n"/>
      <c r="B171" s="13" t="n"/>
      <c r="C171" s="13" t="n"/>
      <c r="D171" s="13" t="n"/>
      <c r="E171" s="13" t="n"/>
      <c r="F171" s="19" t="n"/>
      <c r="G171" s="19" t="n"/>
      <c r="H171" s="15" t="n"/>
      <c r="I171">
        <f>IF(OR(A171&lt;&gt; '控制台'!B4,B171&lt;&gt; '控制台'!B5,F171=""),"",DATE(VALUE(LEFT('控制台'!B5,4)),VALUE(RIGHT('控制台'!B5,2))+1,1)-1-F171)</f>
        <v/>
      </c>
      <c r="J171">
        <f>IF(OR(A171&lt;&gt; '控制台'!B4,B171&lt;&gt; '控制台'!B5,G171=""),"",MAX(0,DATE(VALUE(LEFT('控制台'!B5,4)),VALUE(RIGHT('控制台'!B5,2))+1,1)-1-G171))</f>
        <v/>
      </c>
      <c r="K171">
        <f>IF(A171="","",IF(AND(AND('控制台'!B4&lt;&gt;"",'控制台'!B5&lt;&gt;"",'控制台'!B4='刷新信息'!B6,'控制台'!B5='刷新信息'!B8),A171='控制台'!B4,B171='控制台'!B5,OR(C171="应收",C171="应付"),COUNTIFS('往来余额'!A5:A6000,C171,'往来余额'!B5:B6000,D171)=1,E171&lt;&gt;"",COUNTIFS(A$5:A$504,A171,B$5:B$504,B171,C$5:C$504,C171,D$5:D$504,D171,E$5:E$504,E171)=1,ISNUMBER(F171),I171&gt;=0,ISNUMBER(H171),H171&gt;=0),"纳入","待核实"))</f>
        <v/>
      </c>
    </row>
    <row r="172">
      <c r="A172" s="13" t="n"/>
      <c r="B172" s="13" t="n"/>
      <c r="C172" s="13" t="n"/>
      <c r="D172" s="13" t="n"/>
      <c r="E172" s="13" t="n"/>
      <c r="F172" s="19" t="n"/>
      <c r="G172" s="19" t="n"/>
      <c r="H172" s="15" t="n"/>
      <c r="I172">
        <f>IF(OR(A172&lt;&gt; '控制台'!B4,B172&lt;&gt; '控制台'!B5,F172=""),"",DATE(VALUE(LEFT('控制台'!B5,4)),VALUE(RIGHT('控制台'!B5,2))+1,1)-1-F172)</f>
        <v/>
      </c>
      <c r="J172">
        <f>IF(OR(A172&lt;&gt; '控制台'!B4,B172&lt;&gt; '控制台'!B5,G172=""),"",MAX(0,DATE(VALUE(LEFT('控制台'!B5,4)),VALUE(RIGHT('控制台'!B5,2))+1,1)-1-G172))</f>
        <v/>
      </c>
      <c r="K172">
        <f>IF(A172="","",IF(AND(AND('控制台'!B4&lt;&gt;"",'控制台'!B5&lt;&gt;"",'控制台'!B4='刷新信息'!B6,'控制台'!B5='刷新信息'!B8),A172='控制台'!B4,B172='控制台'!B5,OR(C172="应收",C172="应付"),COUNTIFS('往来余额'!A5:A6000,C172,'往来余额'!B5:B6000,D172)=1,E172&lt;&gt;"",COUNTIFS(A$5:A$504,A172,B$5:B$504,B172,C$5:C$504,C172,D$5:D$504,D172,E$5:E$504,E172)=1,ISNUMBER(F172),I172&gt;=0,ISNUMBER(H172),H172&gt;=0),"纳入","待核实"))</f>
        <v/>
      </c>
    </row>
    <row r="173">
      <c r="A173" s="13" t="n"/>
      <c r="B173" s="13" t="n"/>
      <c r="C173" s="13" t="n"/>
      <c r="D173" s="13" t="n"/>
      <c r="E173" s="13" t="n"/>
      <c r="F173" s="19" t="n"/>
      <c r="G173" s="19" t="n"/>
      <c r="H173" s="15" t="n"/>
      <c r="I173">
        <f>IF(OR(A173&lt;&gt; '控制台'!B4,B173&lt;&gt; '控制台'!B5,F173=""),"",DATE(VALUE(LEFT('控制台'!B5,4)),VALUE(RIGHT('控制台'!B5,2))+1,1)-1-F173)</f>
        <v/>
      </c>
      <c r="J173">
        <f>IF(OR(A173&lt;&gt; '控制台'!B4,B173&lt;&gt; '控制台'!B5,G173=""),"",MAX(0,DATE(VALUE(LEFT('控制台'!B5,4)),VALUE(RIGHT('控制台'!B5,2))+1,1)-1-G173))</f>
        <v/>
      </c>
      <c r="K173">
        <f>IF(A173="","",IF(AND(AND('控制台'!B4&lt;&gt;"",'控制台'!B5&lt;&gt;"",'控制台'!B4='刷新信息'!B6,'控制台'!B5='刷新信息'!B8),A173='控制台'!B4,B173='控制台'!B5,OR(C173="应收",C173="应付"),COUNTIFS('往来余额'!A5:A6000,C173,'往来余额'!B5:B6000,D173)=1,E173&lt;&gt;"",COUNTIFS(A$5:A$504,A173,B$5:B$504,B173,C$5:C$504,C173,D$5:D$504,D173,E$5:E$504,E173)=1,ISNUMBER(F173),I173&gt;=0,ISNUMBER(H173),H173&gt;=0),"纳入","待核实"))</f>
        <v/>
      </c>
    </row>
    <row r="174">
      <c r="A174" s="13" t="n"/>
      <c r="B174" s="13" t="n"/>
      <c r="C174" s="13" t="n"/>
      <c r="D174" s="13" t="n"/>
      <c r="E174" s="13" t="n"/>
      <c r="F174" s="19" t="n"/>
      <c r="G174" s="19" t="n"/>
      <c r="H174" s="15" t="n"/>
      <c r="I174">
        <f>IF(OR(A174&lt;&gt; '控制台'!B4,B174&lt;&gt; '控制台'!B5,F174=""),"",DATE(VALUE(LEFT('控制台'!B5,4)),VALUE(RIGHT('控制台'!B5,2))+1,1)-1-F174)</f>
        <v/>
      </c>
      <c r="J174">
        <f>IF(OR(A174&lt;&gt; '控制台'!B4,B174&lt;&gt; '控制台'!B5,G174=""),"",MAX(0,DATE(VALUE(LEFT('控制台'!B5,4)),VALUE(RIGHT('控制台'!B5,2))+1,1)-1-G174))</f>
        <v/>
      </c>
      <c r="K174">
        <f>IF(A174="","",IF(AND(AND('控制台'!B4&lt;&gt;"",'控制台'!B5&lt;&gt;"",'控制台'!B4='刷新信息'!B6,'控制台'!B5='刷新信息'!B8),A174='控制台'!B4,B174='控制台'!B5,OR(C174="应收",C174="应付"),COUNTIFS('往来余额'!A5:A6000,C174,'往来余额'!B5:B6000,D174)=1,E174&lt;&gt;"",COUNTIFS(A$5:A$504,A174,B$5:B$504,B174,C$5:C$504,C174,D$5:D$504,D174,E$5:E$504,E174)=1,ISNUMBER(F174),I174&gt;=0,ISNUMBER(H174),H174&gt;=0),"纳入","待核实"))</f>
        <v/>
      </c>
    </row>
    <row r="175">
      <c r="A175" s="13" t="n"/>
      <c r="B175" s="13" t="n"/>
      <c r="C175" s="13" t="n"/>
      <c r="D175" s="13" t="n"/>
      <c r="E175" s="13" t="n"/>
      <c r="F175" s="19" t="n"/>
      <c r="G175" s="19" t="n"/>
      <c r="H175" s="15" t="n"/>
      <c r="I175">
        <f>IF(OR(A175&lt;&gt; '控制台'!B4,B175&lt;&gt; '控制台'!B5,F175=""),"",DATE(VALUE(LEFT('控制台'!B5,4)),VALUE(RIGHT('控制台'!B5,2))+1,1)-1-F175)</f>
        <v/>
      </c>
      <c r="J175">
        <f>IF(OR(A175&lt;&gt; '控制台'!B4,B175&lt;&gt; '控制台'!B5,G175=""),"",MAX(0,DATE(VALUE(LEFT('控制台'!B5,4)),VALUE(RIGHT('控制台'!B5,2))+1,1)-1-G175))</f>
        <v/>
      </c>
      <c r="K175">
        <f>IF(A175="","",IF(AND(AND('控制台'!B4&lt;&gt;"",'控制台'!B5&lt;&gt;"",'控制台'!B4='刷新信息'!B6,'控制台'!B5='刷新信息'!B8),A175='控制台'!B4,B175='控制台'!B5,OR(C175="应收",C175="应付"),COUNTIFS('往来余额'!A5:A6000,C175,'往来余额'!B5:B6000,D175)=1,E175&lt;&gt;"",COUNTIFS(A$5:A$504,A175,B$5:B$504,B175,C$5:C$504,C175,D$5:D$504,D175,E$5:E$504,E175)=1,ISNUMBER(F175),I175&gt;=0,ISNUMBER(H175),H175&gt;=0),"纳入","待核实"))</f>
        <v/>
      </c>
    </row>
    <row r="176">
      <c r="A176" s="13" t="n"/>
      <c r="B176" s="13" t="n"/>
      <c r="C176" s="13" t="n"/>
      <c r="D176" s="13" t="n"/>
      <c r="E176" s="13" t="n"/>
      <c r="F176" s="19" t="n"/>
      <c r="G176" s="19" t="n"/>
      <c r="H176" s="15" t="n"/>
      <c r="I176">
        <f>IF(OR(A176&lt;&gt; '控制台'!B4,B176&lt;&gt; '控制台'!B5,F176=""),"",DATE(VALUE(LEFT('控制台'!B5,4)),VALUE(RIGHT('控制台'!B5,2))+1,1)-1-F176)</f>
        <v/>
      </c>
      <c r="J176">
        <f>IF(OR(A176&lt;&gt; '控制台'!B4,B176&lt;&gt; '控制台'!B5,G176=""),"",MAX(0,DATE(VALUE(LEFT('控制台'!B5,4)),VALUE(RIGHT('控制台'!B5,2))+1,1)-1-G176))</f>
        <v/>
      </c>
      <c r="K176">
        <f>IF(A176="","",IF(AND(AND('控制台'!B4&lt;&gt;"",'控制台'!B5&lt;&gt;"",'控制台'!B4='刷新信息'!B6,'控制台'!B5='刷新信息'!B8),A176='控制台'!B4,B176='控制台'!B5,OR(C176="应收",C176="应付"),COUNTIFS('往来余额'!A5:A6000,C176,'往来余额'!B5:B6000,D176)=1,E176&lt;&gt;"",COUNTIFS(A$5:A$504,A176,B$5:B$504,B176,C$5:C$504,C176,D$5:D$504,D176,E$5:E$504,E176)=1,ISNUMBER(F176),I176&gt;=0,ISNUMBER(H176),H176&gt;=0),"纳入","待核实"))</f>
        <v/>
      </c>
    </row>
    <row r="177">
      <c r="A177" s="13" t="n"/>
      <c r="B177" s="13" t="n"/>
      <c r="C177" s="13" t="n"/>
      <c r="D177" s="13" t="n"/>
      <c r="E177" s="13" t="n"/>
      <c r="F177" s="19" t="n"/>
      <c r="G177" s="19" t="n"/>
      <c r="H177" s="15" t="n"/>
      <c r="I177">
        <f>IF(OR(A177&lt;&gt; '控制台'!B4,B177&lt;&gt; '控制台'!B5,F177=""),"",DATE(VALUE(LEFT('控制台'!B5,4)),VALUE(RIGHT('控制台'!B5,2))+1,1)-1-F177)</f>
        <v/>
      </c>
      <c r="J177">
        <f>IF(OR(A177&lt;&gt; '控制台'!B4,B177&lt;&gt; '控制台'!B5,G177=""),"",MAX(0,DATE(VALUE(LEFT('控制台'!B5,4)),VALUE(RIGHT('控制台'!B5,2))+1,1)-1-G177))</f>
        <v/>
      </c>
      <c r="K177">
        <f>IF(A177="","",IF(AND(AND('控制台'!B4&lt;&gt;"",'控制台'!B5&lt;&gt;"",'控制台'!B4='刷新信息'!B6,'控制台'!B5='刷新信息'!B8),A177='控制台'!B4,B177='控制台'!B5,OR(C177="应收",C177="应付"),COUNTIFS('往来余额'!A5:A6000,C177,'往来余额'!B5:B6000,D177)=1,E177&lt;&gt;"",COUNTIFS(A$5:A$504,A177,B$5:B$504,B177,C$5:C$504,C177,D$5:D$504,D177,E$5:E$504,E177)=1,ISNUMBER(F177),I177&gt;=0,ISNUMBER(H177),H177&gt;=0),"纳入","待核实"))</f>
        <v/>
      </c>
    </row>
    <row r="178">
      <c r="A178" s="13" t="n"/>
      <c r="B178" s="13" t="n"/>
      <c r="C178" s="13" t="n"/>
      <c r="D178" s="13" t="n"/>
      <c r="E178" s="13" t="n"/>
      <c r="F178" s="19" t="n"/>
      <c r="G178" s="19" t="n"/>
      <c r="H178" s="15" t="n"/>
      <c r="I178">
        <f>IF(OR(A178&lt;&gt; '控制台'!B4,B178&lt;&gt; '控制台'!B5,F178=""),"",DATE(VALUE(LEFT('控制台'!B5,4)),VALUE(RIGHT('控制台'!B5,2))+1,1)-1-F178)</f>
        <v/>
      </c>
      <c r="J178">
        <f>IF(OR(A178&lt;&gt; '控制台'!B4,B178&lt;&gt; '控制台'!B5,G178=""),"",MAX(0,DATE(VALUE(LEFT('控制台'!B5,4)),VALUE(RIGHT('控制台'!B5,2))+1,1)-1-G178))</f>
        <v/>
      </c>
      <c r="K178">
        <f>IF(A178="","",IF(AND(AND('控制台'!B4&lt;&gt;"",'控制台'!B5&lt;&gt;"",'控制台'!B4='刷新信息'!B6,'控制台'!B5='刷新信息'!B8),A178='控制台'!B4,B178='控制台'!B5,OR(C178="应收",C178="应付"),COUNTIFS('往来余额'!A5:A6000,C178,'往来余额'!B5:B6000,D178)=1,E178&lt;&gt;"",COUNTIFS(A$5:A$504,A178,B$5:B$504,B178,C$5:C$504,C178,D$5:D$504,D178,E$5:E$504,E178)=1,ISNUMBER(F178),I178&gt;=0,ISNUMBER(H178),H178&gt;=0),"纳入","待核实"))</f>
        <v/>
      </c>
    </row>
    <row r="179">
      <c r="A179" s="13" t="n"/>
      <c r="B179" s="13" t="n"/>
      <c r="C179" s="13" t="n"/>
      <c r="D179" s="13" t="n"/>
      <c r="E179" s="13" t="n"/>
      <c r="F179" s="19" t="n"/>
      <c r="G179" s="19" t="n"/>
      <c r="H179" s="15" t="n"/>
      <c r="I179">
        <f>IF(OR(A179&lt;&gt; '控制台'!B4,B179&lt;&gt; '控制台'!B5,F179=""),"",DATE(VALUE(LEFT('控制台'!B5,4)),VALUE(RIGHT('控制台'!B5,2))+1,1)-1-F179)</f>
        <v/>
      </c>
      <c r="J179">
        <f>IF(OR(A179&lt;&gt; '控制台'!B4,B179&lt;&gt; '控制台'!B5,G179=""),"",MAX(0,DATE(VALUE(LEFT('控制台'!B5,4)),VALUE(RIGHT('控制台'!B5,2))+1,1)-1-G179))</f>
        <v/>
      </c>
      <c r="K179">
        <f>IF(A179="","",IF(AND(AND('控制台'!B4&lt;&gt;"",'控制台'!B5&lt;&gt;"",'控制台'!B4='刷新信息'!B6,'控制台'!B5='刷新信息'!B8),A179='控制台'!B4,B179='控制台'!B5,OR(C179="应收",C179="应付"),COUNTIFS('往来余额'!A5:A6000,C179,'往来余额'!B5:B6000,D179)=1,E179&lt;&gt;"",COUNTIFS(A$5:A$504,A179,B$5:B$504,B179,C$5:C$504,C179,D$5:D$504,D179,E$5:E$504,E179)=1,ISNUMBER(F179),I179&gt;=0,ISNUMBER(H179),H179&gt;=0),"纳入","待核实"))</f>
        <v/>
      </c>
    </row>
    <row r="180">
      <c r="A180" s="13" t="n"/>
      <c r="B180" s="13" t="n"/>
      <c r="C180" s="13" t="n"/>
      <c r="D180" s="13" t="n"/>
      <c r="E180" s="13" t="n"/>
      <c r="F180" s="19" t="n"/>
      <c r="G180" s="19" t="n"/>
      <c r="H180" s="15" t="n"/>
      <c r="I180">
        <f>IF(OR(A180&lt;&gt; '控制台'!B4,B180&lt;&gt; '控制台'!B5,F180=""),"",DATE(VALUE(LEFT('控制台'!B5,4)),VALUE(RIGHT('控制台'!B5,2))+1,1)-1-F180)</f>
        <v/>
      </c>
      <c r="J180">
        <f>IF(OR(A180&lt;&gt; '控制台'!B4,B180&lt;&gt; '控制台'!B5,G180=""),"",MAX(0,DATE(VALUE(LEFT('控制台'!B5,4)),VALUE(RIGHT('控制台'!B5,2))+1,1)-1-G180))</f>
        <v/>
      </c>
      <c r="K180">
        <f>IF(A180="","",IF(AND(AND('控制台'!B4&lt;&gt;"",'控制台'!B5&lt;&gt;"",'控制台'!B4='刷新信息'!B6,'控制台'!B5='刷新信息'!B8),A180='控制台'!B4,B180='控制台'!B5,OR(C180="应收",C180="应付"),COUNTIFS('往来余额'!A5:A6000,C180,'往来余额'!B5:B6000,D180)=1,E180&lt;&gt;"",COUNTIFS(A$5:A$504,A180,B$5:B$504,B180,C$5:C$504,C180,D$5:D$504,D180,E$5:E$504,E180)=1,ISNUMBER(F180),I180&gt;=0,ISNUMBER(H180),H180&gt;=0),"纳入","待核实"))</f>
        <v/>
      </c>
    </row>
    <row r="181">
      <c r="A181" s="13" t="n"/>
      <c r="B181" s="13" t="n"/>
      <c r="C181" s="13" t="n"/>
      <c r="D181" s="13" t="n"/>
      <c r="E181" s="13" t="n"/>
      <c r="F181" s="19" t="n"/>
      <c r="G181" s="19" t="n"/>
      <c r="H181" s="15" t="n"/>
      <c r="I181">
        <f>IF(OR(A181&lt;&gt; '控制台'!B4,B181&lt;&gt; '控制台'!B5,F181=""),"",DATE(VALUE(LEFT('控制台'!B5,4)),VALUE(RIGHT('控制台'!B5,2))+1,1)-1-F181)</f>
        <v/>
      </c>
      <c r="J181">
        <f>IF(OR(A181&lt;&gt; '控制台'!B4,B181&lt;&gt; '控制台'!B5,G181=""),"",MAX(0,DATE(VALUE(LEFT('控制台'!B5,4)),VALUE(RIGHT('控制台'!B5,2))+1,1)-1-G181))</f>
        <v/>
      </c>
      <c r="K181">
        <f>IF(A181="","",IF(AND(AND('控制台'!B4&lt;&gt;"",'控制台'!B5&lt;&gt;"",'控制台'!B4='刷新信息'!B6,'控制台'!B5='刷新信息'!B8),A181='控制台'!B4,B181='控制台'!B5,OR(C181="应收",C181="应付"),COUNTIFS('往来余额'!A5:A6000,C181,'往来余额'!B5:B6000,D181)=1,E181&lt;&gt;"",COUNTIFS(A$5:A$504,A181,B$5:B$504,B181,C$5:C$504,C181,D$5:D$504,D181,E$5:E$504,E181)=1,ISNUMBER(F181),I181&gt;=0,ISNUMBER(H181),H181&gt;=0),"纳入","待核实"))</f>
        <v/>
      </c>
    </row>
    <row r="182">
      <c r="A182" s="13" t="n"/>
      <c r="B182" s="13" t="n"/>
      <c r="C182" s="13" t="n"/>
      <c r="D182" s="13" t="n"/>
      <c r="E182" s="13" t="n"/>
      <c r="F182" s="19" t="n"/>
      <c r="G182" s="19" t="n"/>
      <c r="H182" s="15" t="n"/>
      <c r="I182">
        <f>IF(OR(A182&lt;&gt; '控制台'!B4,B182&lt;&gt; '控制台'!B5,F182=""),"",DATE(VALUE(LEFT('控制台'!B5,4)),VALUE(RIGHT('控制台'!B5,2))+1,1)-1-F182)</f>
        <v/>
      </c>
      <c r="J182">
        <f>IF(OR(A182&lt;&gt; '控制台'!B4,B182&lt;&gt; '控制台'!B5,G182=""),"",MAX(0,DATE(VALUE(LEFT('控制台'!B5,4)),VALUE(RIGHT('控制台'!B5,2))+1,1)-1-G182))</f>
        <v/>
      </c>
      <c r="K182">
        <f>IF(A182="","",IF(AND(AND('控制台'!B4&lt;&gt;"",'控制台'!B5&lt;&gt;"",'控制台'!B4='刷新信息'!B6,'控制台'!B5='刷新信息'!B8),A182='控制台'!B4,B182='控制台'!B5,OR(C182="应收",C182="应付"),COUNTIFS('往来余额'!A5:A6000,C182,'往来余额'!B5:B6000,D182)=1,E182&lt;&gt;"",COUNTIFS(A$5:A$504,A182,B$5:B$504,B182,C$5:C$504,C182,D$5:D$504,D182,E$5:E$504,E182)=1,ISNUMBER(F182),I182&gt;=0,ISNUMBER(H182),H182&gt;=0),"纳入","待核实"))</f>
        <v/>
      </c>
    </row>
    <row r="183">
      <c r="A183" s="13" t="n"/>
      <c r="B183" s="13" t="n"/>
      <c r="C183" s="13" t="n"/>
      <c r="D183" s="13" t="n"/>
      <c r="E183" s="13" t="n"/>
      <c r="F183" s="19" t="n"/>
      <c r="G183" s="19" t="n"/>
      <c r="H183" s="15" t="n"/>
      <c r="I183">
        <f>IF(OR(A183&lt;&gt; '控制台'!B4,B183&lt;&gt; '控制台'!B5,F183=""),"",DATE(VALUE(LEFT('控制台'!B5,4)),VALUE(RIGHT('控制台'!B5,2))+1,1)-1-F183)</f>
        <v/>
      </c>
      <c r="J183">
        <f>IF(OR(A183&lt;&gt; '控制台'!B4,B183&lt;&gt; '控制台'!B5,G183=""),"",MAX(0,DATE(VALUE(LEFT('控制台'!B5,4)),VALUE(RIGHT('控制台'!B5,2))+1,1)-1-G183))</f>
        <v/>
      </c>
      <c r="K183">
        <f>IF(A183="","",IF(AND(AND('控制台'!B4&lt;&gt;"",'控制台'!B5&lt;&gt;"",'控制台'!B4='刷新信息'!B6,'控制台'!B5='刷新信息'!B8),A183='控制台'!B4,B183='控制台'!B5,OR(C183="应收",C183="应付"),COUNTIFS('往来余额'!A5:A6000,C183,'往来余额'!B5:B6000,D183)=1,E183&lt;&gt;"",COUNTIFS(A$5:A$504,A183,B$5:B$504,B183,C$5:C$504,C183,D$5:D$504,D183,E$5:E$504,E183)=1,ISNUMBER(F183),I183&gt;=0,ISNUMBER(H183),H183&gt;=0),"纳入","待核实"))</f>
        <v/>
      </c>
    </row>
    <row r="184">
      <c r="A184" s="13" t="n"/>
      <c r="B184" s="13" t="n"/>
      <c r="C184" s="13" t="n"/>
      <c r="D184" s="13" t="n"/>
      <c r="E184" s="13" t="n"/>
      <c r="F184" s="19" t="n"/>
      <c r="G184" s="19" t="n"/>
      <c r="H184" s="15" t="n"/>
      <c r="I184">
        <f>IF(OR(A184&lt;&gt; '控制台'!B4,B184&lt;&gt; '控制台'!B5,F184=""),"",DATE(VALUE(LEFT('控制台'!B5,4)),VALUE(RIGHT('控制台'!B5,2))+1,1)-1-F184)</f>
        <v/>
      </c>
      <c r="J184">
        <f>IF(OR(A184&lt;&gt; '控制台'!B4,B184&lt;&gt; '控制台'!B5,G184=""),"",MAX(0,DATE(VALUE(LEFT('控制台'!B5,4)),VALUE(RIGHT('控制台'!B5,2))+1,1)-1-G184))</f>
        <v/>
      </c>
      <c r="K184">
        <f>IF(A184="","",IF(AND(AND('控制台'!B4&lt;&gt;"",'控制台'!B5&lt;&gt;"",'控制台'!B4='刷新信息'!B6,'控制台'!B5='刷新信息'!B8),A184='控制台'!B4,B184='控制台'!B5,OR(C184="应收",C184="应付"),COUNTIFS('往来余额'!A5:A6000,C184,'往来余额'!B5:B6000,D184)=1,E184&lt;&gt;"",COUNTIFS(A$5:A$504,A184,B$5:B$504,B184,C$5:C$504,C184,D$5:D$504,D184,E$5:E$504,E184)=1,ISNUMBER(F184),I184&gt;=0,ISNUMBER(H184),H184&gt;=0),"纳入","待核实"))</f>
        <v/>
      </c>
    </row>
    <row r="185">
      <c r="A185" s="13" t="n"/>
      <c r="B185" s="13" t="n"/>
      <c r="C185" s="13" t="n"/>
      <c r="D185" s="13" t="n"/>
      <c r="E185" s="13" t="n"/>
      <c r="F185" s="19" t="n"/>
      <c r="G185" s="19" t="n"/>
      <c r="H185" s="15" t="n"/>
      <c r="I185">
        <f>IF(OR(A185&lt;&gt; '控制台'!B4,B185&lt;&gt; '控制台'!B5,F185=""),"",DATE(VALUE(LEFT('控制台'!B5,4)),VALUE(RIGHT('控制台'!B5,2))+1,1)-1-F185)</f>
        <v/>
      </c>
      <c r="J185">
        <f>IF(OR(A185&lt;&gt; '控制台'!B4,B185&lt;&gt; '控制台'!B5,G185=""),"",MAX(0,DATE(VALUE(LEFT('控制台'!B5,4)),VALUE(RIGHT('控制台'!B5,2))+1,1)-1-G185))</f>
        <v/>
      </c>
      <c r="K185">
        <f>IF(A185="","",IF(AND(AND('控制台'!B4&lt;&gt;"",'控制台'!B5&lt;&gt;"",'控制台'!B4='刷新信息'!B6,'控制台'!B5='刷新信息'!B8),A185='控制台'!B4,B185='控制台'!B5,OR(C185="应收",C185="应付"),COUNTIFS('往来余额'!A5:A6000,C185,'往来余额'!B5:B6000,D185)=1,E185&lt;&gt;"",COUNTIFS(A$5:A$504,A185,B$5:B$504,B185,C$5:C$504,C185,D$5:D$504,D185,E$5:E$504,E185)=1,ISNUMBER(F185),I185&gt;=0,ISNUMBER(H185),H185&gt;=0),"纳入","待核实"))</f>
        <v/>
      </c>
    </row>
    <row r="186">
      <c r="A186" s="13" t="n"/>
      <c r="B186" s="13" t="n"/>
      <c r="C186" s="13" t="n"/>
      <c r="D186" s="13" t="n"/>
      <c r="E186" s="13" t="n"/>
      <c r="F186" s="19" t="n"/>
      <c r="G186" s="19" t="n"/>
      <c r="H186" s="15" t="n"/>
      <c r="I186">
        <f>IF(OR(A186&lt;&gt; '控制台'!B4,B186&lt;&gt; '控制台'!B5,F186=""),"",DATE(VALUE(LEFT('控制台'!B5,4)),VALUE(RIGHT('控制台'!B5,2))+1,1)-1-F186)</f>
        <v/>
      </c>
      <c r="J186">
        <f>IF(OR(A186&lt;&gt; '控制台'!B4,B186&lt;&gt; '控制台'!B5,G186=""),"",MAX(0,DATE(VALUE(LEFT('控制台'!B5,4)),VALUE(RIGHT('控制台'!B5,2))+1,1)-1-G186))</f>
        <v/>
      </c>
      <c r="K186">
        <f>IF(A186="","",IF(AND(AND('控制台'!B4&lt;&gt;"",'控制台'!B5&lt;&gt;"",'控制台'!B4='刷新信息'!B6,'控制台'!B5='刷新信息'!B8),A186='控制台'!B4,B186='控制台'!B5,OR(C186="应收",C186="应付"),COUNTIFS('往来余额'!A5:A6000,C186,'往来余额'!B5:B6000,D186)=1,E186&lt;&gt;"",COUNTIFS(A$5:A$504,A186,B$5:B$504,B186,C$5:C$504,C186,D$5:D$504,D186,E$5:E$504,E186)=1,ISNUMBER(F186),I186&gt;=0,ISNUMBER(H186),H186&gt;=0),"纳入","待核实"))</f>
        <v/>
      </c>
    </row>
    <row r="187">
      <c r="A187" s="13" t="n"/>
      <c r="B187" s="13" t="n"/>
      <c r="C187" s="13" t="n"/>
      <c r="D187" s="13" t="n"/>
      <c r="E187" s="13" t="n"/>
      <c r="F187" s="19" t="n"/>
      <c r="G187" s="19" t="n"/>
      <c r="H187" s="15" t="n"/>
      <c r="I187">
        <f>IF(OR(A187&lt;&gt; '控制台'!B4,B187&lt;&gt; '控制台'!B5,F187=""),"",DATE(VALUE(LEFT('控制台'!B5,4)),VALUE(RIGHT('控制台'!B5,2))+1,1)-1-F187)</f>
        <v/>
      </c>
      <c r="J187">
        <f>IF(OR(A187&lt;&gt; '控制台'!B4,B187&lt;&gt; '控制台'!B5,G187=""),"",MAX(0,DATE(VALUE(LEFT('控制台'!B5,4)),VALUE(RIGHT('控制台'!B5,2))+1,1)-1-G187))</f>
        <v/>
      </c>
      <c r="K187">
        <f>IF(A187="","",IF(AND(AND('控制台'!B4&lt;&gt;"",'控制台'!B5&lt;&gt;"",'控制台'!B4='刷新信息'!B6,'控制台'!B5='刷新信息'!B8),A187='控制台'!B4,B187='控制台'!B5,OR(C187="应收",C187="应付"),COUNTIFS('往来余额'!A5:A6000,C187,'往来余额'!B5:B6000,D187)=1,E187&lt;&gt;"",COUNTIFS(A$5:A$504,A187,B$5:B$504,B187,C$5:C$504,C187,D$5:D$504,D187,E$5:E$504,E187)=1,ISNUMBER(F187),I187&gt;=0,ISNUMBER(H187),H187&gt;=0),"纳入","待核实"))</f>
        <v/>
      </c>
    </row>
    <row r="188">
      <c r="A188" s="13" t="n"/>
      <c r="B188" s="13" t="n"/>
      <c r="C188" s="13" t="n"/>
      <c r="D188" s="13" t="n"/>
      <c r="E188" s="13" t="n"/>
      <c r="F188" s="19" t="n"/>
      <c r="G188" s="19" t="n"/>
      <c r="H188" s="15" t="n"/>
      <c r="I188">
        <f>IF(OR(A188&lt;&gt; '控制台'!B4,B188&lt;&gt; '控制台'!B5,F188=""),"",DATE(VALUE(LEFT('控制台'!B5,4)),VALUE(RIGHT('控制台'!B5,2))+1,1)-1-F188)</f>
        <v/>
      </c>
      <c r="J188">
        <f>IF(OR(A188&lt;&gt; '控制台'!B4,B188&lt;&gt; '控制台'!B5,G188=""),"",MAX(0,DATE(VALUE(LEFT('控制台'!B5,4)),VALUE(RIGHT('控制台'!B5,2))+1,1)-1-G188))</f>
        <v/>
      </c>
      <c r="K188">
        <f>IF(A188="","",IF(AND(AND('控制台'!B4&lt;&gt;"",'控制台'!B5&lt;&gt;"",'控制台'!B4='刷新信息'!B6,'控制台'!B5='刷新信息'!B8),A188='控制台'!B4,B188='控制台'!B5,OR(C188="应收",C188="应付"),COUNTIFS('往来余额'!A5:A6000,C188,'往来余额'!B5:B6000,D188)=1,E188&lt;&gt;"",COUNTIFS(A$5:A$504,A188,B$5:B$504,B188,C$5:C$504,C188,D$5:D$504,D188,E$5:E$504,E188)=1,ISNUMBER(F188),I188&gt;=0,ISNUMBER(H188),H188&gt;=0),"纳入","待核实"))</f>
        <v/>
      </c>
    </row>
    <row r="189">
      <c r="A189" s="13" t="n"/>
      <c r="B189" s="13" t="n"/>
      <c r="C189" s="13" t="n"/>
      <c r="D189" s="13" t="n"/>
      <c r="E189" s="13" t="n"/>
      <c r="F189" s="19" t="n"/>
      <c r="G189" s="19" t="n"/>
      <c r="H189" s="15" t="n"/>
      <c r="I189">
        <f>IF(OR(A189&lt;&gt; '控制台'!B4,B189&lt;&gt; '控制台'!B5,F189=""),"",DATE(VALUE(LEFT('控制台'!B5,4)),VALUE(RIGHT('控制台'!B5,2))+1,1)-1-F189)</f>
        <v/>
      </c>
      <c r="J189">
        <f>IF(OR(A189&lt;&gt; '控制台'!B4,B189&lt;&gt; '控制台'!B5,G189=""),"",MAX(0,DATE(VALUE(LEFT('控制台'!B5,4)),VALUE(RIGHT('控制台'!B5,2))+1,1)-1-G189))</f>
        <v/>
      </c>
      <c r="K189">
        <f>IF(A189="","",IF(AND(AND('控制台'!B4&lt;&gt;"",'控制台'!B5&lt;&gt;"",'控制台'!B4='刷新信息'!B6,'控制台'!B5='刷新信息'!B8),A189='控制台'!B4,B189='控制台'!B5,OR(C189="应收",C189="应付"),COUNTIFS('往来余额'!A5:A6000,C189,'往来余额'!B5:B6000,D189)=1,E189&lt;&gt;"",COUNTIFS(A$5:A$504,A189,B$5:B$504,B189,C$5:C$504,C189,D$5:D$504,D189,E$5:E$504,E189)=1,ISNUMBER(F189),I189&gt;=0,ISNUMBER(H189),H189&gt;=0),"纳入","待核实"))</f>
        <v/>
      </c>
    </row>
    <row r="190">
      <c r="A190" s="13" t="n"/>
      <c r="B190" s="13" t="n"/>
      <c r="C190" s="13" t="n"/>
      <c r="D190" s="13" t="n"/>
      <c r="E190" s="13" t="n"/>
      <c r="F190" s="19" t="n"/>
      <c r="G190" s="19" t="n"/>
      <c r="H190" s="15" t="n"/>
      <c r="I190">
        <f>IF(OR(A190&lt;&gt; '控制台'!B4,B190&lt;&gt; '控制台'!B5,F190=""),"",DATE(VALUE(LEFT('控制台'!B5,4)),VALUE(RIGHT('控制台'!B5,2))+1,1)-1-F190)</f>
        <v/>
      </c>
      <c r="J190">
        <f>IF(OR(A190&lt;&gt; '控制台'!B4,B190&lt;&gt; '控制台'!B5,G190=""),"",MAX(0,DATE(VALUE(LEFT('控制台'!B5,4)),VALUE(RIGHT('控制台'!B5,2))+1,1)-1-G190))</f>
        <v/>
      </c>
      <c r="K190">
        <f>IF(A190="","",IF(AND(AND('控制台'!B4&lt;&gt;"",'控制台'!B5&lt;&gt;"",'控制台'!B4='刷新信息'!B6,'控制台'!B5='刷新信息'!B8),A190='控制台'!B4,B190='控制台'!B5,OR(C190="应收",C190="应付"),COUNTIFS('往来余额'!A5:A6000,C190,'往来余额'!B5:B6000,D190)=1,E190&lt;&gt;"",COUNTIFS(A$5:A$504,A190,B$5:B$504,B190,C$5:C$504,C190,D$5:D$504,D190,E$5:E$504,E190)=1,ISNUMBER(F190),I190&gt;=0,ISNUMBER(H190),H190&gt;=0),"纳入","待核实"))</f>
        <v/>
      </c>
    </row>
    <row r="191">
      <c r="A191" s="13" t="n"/>
      <c r="B191" s="13" t="n"/>
      <c r="C191" s="13" t="n"/>
      <c r="D191" s="13" t="n"/>
      <c r="E191" s="13" t="n"/>
      <c r="F191" s="19" t="n"/>
      <c r="G191" s="19" t="n"/>
      <c r="H191" s="15" t="n"/>
      <c r="I191">
        <f>IF(OR(A191&lt;&gt; '控制台'!B4,B191&lt;&gt; '控制台'!B5,F191=""),"",DATE(VALUE(LEFT('控制台'!B5,4)),VALUE(RIGHT('控制台'!B5,2))+1,1)-1-F191)</f>
        <v/>
      </c>
      <c r="J191">
        <f>IF(OR(A191&lt;&gt; '控制台'!B4,B191&lt;&gt; '控制台'!B5,G191=""),"",MAX(0,DATE(VALUE(LEFT('控制台'!B5,4)),VALUE(RIGHT('控制台'!B5,2))+1,1)-1-G191))</f>
        <v/>
      </c>
      <c r="K191">
        <f>IF(A191="","",IF(AND(AND('控制台'!B4&lt;&gt;"",'控制台'!B5&lt;&gt;"",'控制台'!B4='刷新信息'!B6,'控制台'!B5='刷新信息'!B8),A191='控制台'!B4,B191='控制台'!B5,OR(C191="应收",C191="应付"),COUNTIFS('往来余额'!A5:A6000,C191,'往来余额'!B5:B6000,D191)=1,E191&lt;&gt;"",COUNTIFS(A$5:A$504,A191,B$5:B$504,B191,C$5:C$504,C191,D$5:D$504,D191,E$5:E$504,E191)=1,ISNUMBER(F191),I191&gt;=0,ISNUMBER(H191),H191&gt;=0),"纳入","待核实"))</f>
        <v/>
      </c>
    </row>
    <row r="192">
      <c r="A192" s="13" t="n"/>
      <c r="B192" s="13" t="n"/>
      <c r="C192" s="13" t="n"/>
      <c r="D192" s="13" t="n"/>
      <c r="E192" s="13" t="n"/>
      <c r="F192" s="19" t="n"/>
      <c r="G192" s="19" t="n"/>
      <c r="H192" s="15" t="n"/>
      <c r="I192">
        <f>IF(OR(A192&lt;&gt; '控制台'!B4,B192&lt;&gt; '控制台'!B5,F192=""),"",DATE(VALUE(LEFT('控制台'!B5,4)),VALUE(RIGHT('控制台'!B5,2))+1,1)-1-F192)</f>
        <v/>
      </c>
      <c r="J192">
        <f>IF(OR(A192&lt;&gt; '控制台'!B4,B192&lt;&gt; '控制台'!B5,G192=""),"",MAX(0,DATE(VALUE(LEFT('控制台'!B5,4)),VALUE(RIGHT('控制台'!B5,2))+1,1)-1-G192))</f>
        <v/>
      </c>
      <c r="K192">
        <f>IF(A192="","",IF(AND(AND('控制台'!B4&lt;&gt;"",'控制台'!B5&lt;&gt;"",'控制台'!B4='刷新信息'!B6,'控制台'!B5='刷新信息'!B8),A192='控制台'!B4,B192='控制台'!B5,OR(C192="应收",C192="应付"),COUNTIFS('往来余额'!A5:A6000,C192,'往来余额'!B5:B6000,D192)=1,E192&lt;&gt;"",COUNTIFS(A$5:A$504,A192,B$5:B$504,B192,C$5:C$504,C192,D$5:D$504,D192,E$5:E$504,E192)=1,ISNUMBER(F192),I192&gt;=0,ISNUMBER(H192),H192&gt;=0),"纳入","待核实"))</f>
        <v/>
      </c>
    </row>
    <row r="193">
      <c r="A193" s="13" t="n"/>
      <c r="B193" s="13" t="n"/>
      <c r="C193" s="13" t="n"/>
      <c r="D193" s="13" t="n"/>
      <c r="E193" s="13" t="n"/>
      <c r="F193" s="19" t="n"/>
      <c r="G193" s="19" t="n"/>
      <c r="H193" s="15" t="n"/>
      <c r="I193">
        <f>IF(OR(A193&lt;&gt; '控制台'!B4,B193&lt;&gt; '控制台'!B5,F193=""),"",DATE(VALUE(LEFT('控制台'!B5,4)),VALUE(RIGHT('控制台'!B5,2))+1,1)-1-F193)</f>
        <v/>
      </c>
      <c r="J193">
        <f>IF(OR(A193&lt;&gt; '控制台'!B4,B193&lt;&gt; '控制台'!B5,G193=""),"",MAX(0,DATE(VALUE(LEFT('控制台'!B5,4)),VALUE(RIGHT('控制台'!B5,2))+1,1)-1-G193))</f>
        <v/>
      </c>
      <c r="K193">
        <f>IF(A193="","",IF(AND(AND('控制台'!B4&lt;&gt;"",'控制台'!B5&lt;&gt;"",'控制台'!B4='刷新信息'!B6,'控制台'!B5='刷新信息'!B8),A193='控制台'!B4,B193='控制台'!B5,OR(C193="应收",C193="应付"),COUNTIFS('往来余额'!A5:A6000,C193,'往来余额'!B5:B6000,D193)=1,E193&lt;&gt;"",COUNTIFS(A$5:A$504,A193,B$5:B$504,B193,C$5:C$504,C193,D$5:D$504,D193,E$5:E$504,E193)=1,ISNUMBER(F193),I193&gt;=0,ISNUMBER(H193),H193&gt;=0),"纳入","待核实"))</f>
        <v/>
      </c>
    </row>
    <row r="194">
      <c r="A194" s="13" t="n"/>
      <c r="B194" s="13" t="n"/>
      <c r="C194" s="13" t="n"/>
      <c r="D194" s="13" t="n"/>
      <c r="E194" s="13" t="n"/>
      <c r="F194" s="19" t="n"/>
      <c r="G194" s="19" t="n"/>
      <c r="H194" s="15" t="n"/>
      <c r="I194">
        <f>IF(OR(A194&lt;&gt; '控制台'!B4,B194&lt;&gt; '控制台'!B5,F194=""),"",DATE(VALUE(LEFT('控制台'!B5,4)),VALUE(RIGHT('控制台'!B5,2))+1,1)-1-F194)</f>
        <v/>
      </c>
      <c r="J194">
        <f>IF(OR(A194&lt;&gt; '控制台'!B4,B194&lt;&gt; '控制台'!B5,G194=""),"",MAX(0,DATE(VALUE(LEFT('控制台'!B5,4)),VALUE(RIGHT('控制台'!B5,2))+1,1)-1-G194))</f>
        <v/>
      </c>
      <c r="K194">
        <f>IF(A194="","",IF(AND(AND('控制台'!B4&lt;&gt;"",'控制台'!B5&lt;&gt;"",'控制台'!B4='刷新信息'!B6,'控制台'!B5='刷新信息'!B8),A194='控制台'!B4,B194='控制台'!B5,OR(C194="应收",C194="应付"),COUNTIFS('往来余额'!A5:A6000,C194,'往来余额'!B5:B6000,D194)=1,E194&lt;&gt;"",COUNTIFS(A$5:A$504,A194,B$5:B$504,B194,C$5:C$504,C194,D$5:D$504,D194,E$5:E$504,E194)=1,ISNUMBER(F194),I194&gt;=0,ISNUMBER(H194),H194&gt;=0),"纳入","待核实"))</f>
        <v/>
      </c>
    </row>
    <row r="195">
      <c r="A195" s="13" t="n"/>
      <c r="B195" s="13" t="n"/>
      <c r="C195" s="13" t="n"/>
      <c r="D195" s="13" t="n"/>
      <c r="E195" s="13" t="n"/>
      <c r="F195" s="19" t="n"/>
      <c r="G195" s="19" t="n"/>
      <c r="H195" s="15" t="n"/>
      <c r="I195">
        <f>IF(OR(A195&lt;&gt; '控制台'!B4,B195&lt;&gt; '控制台'!B5,F195=""),"",DATE(VALUE(LEFT('控制台'!B5,4)),VALUE(RIGHT('控制台'!B5,2))+1,1)-1-F195)</f>
        <v/>
      </c>
      <c r="J195">
        <f>IF(OR(A195&lt;&gt; '控制台'!B4,B195&lt;&gt; '控制台'!B5,G195=""),"",MAX(0,DATE(VALUE(LEFT('控制台'!B5,4)),VALUE(RIGHT('控制台'!B5,2))+1,1)-1-G195))</f>
        <v/>
      </c>
      <c r="K195">
        <f>IF(A195="","",IF(AND(AND('控制台'!B4&lt;&gt;"",'控制台'!B5&lt;&gt;"",'控制台'!B4='刷新信息'!B6,'控制台'!B5='刷新信息'!B8),A195='控制台'!B4,B195='控制台'!B5,OR(C195="应收",C195="应付"),COUNTIFS('往来余额'!A5:A6000,C195,'往来余额'!B5:B6000,D195)=1,E195&lt;&gt;"",COUNTIFS(A$5:A$504,A195,B$5:B$504,B195,C$5:C$504,C195,D$5:D$504,D195,E$5:E$504,E195)=1,ISNUMBER(F195),I195&gt;=0,ISNUMBER(H195),H195&gt;=0),"纳入","待核实"))</f>
        <v/>
      </c>
    </row>
    <row r="196">
      <c r="A196" s="13" t="n"/>
      <c r="B196" s="13" t="n"/>
      <c r="C196" s="13" t="n"/>
      <c r="D196" s="13" t="n"/>
      <c r="E196" s="13" t="n"/>
      <c r="F196" s="19" t="n"/>
      <c r="G196" s="19" t="n"/>
      <c r="H196" s="15" t="n"/>
      <c r="I196">
        <f>IF(OR(A196&lt;&gt; '控制台'!B4,B196&lt;&gt; '控制台'!B5,F196=""),"",DATE(VALUE(LEFT('控制台'!B5,4)),VALUE(RIGHT('控制台'!B5,2))+1,1)-1-F196)</f>
        <v/>
      </c>
      <c r="J196">
        <f>IF(OR(A196&lt;&gt; '控制台'!B4,B196&lt;&gt; '控制台'!B5,G196=""),"",MAX(0,DATE(VALUE(LEFT('控制台'!B5,4)),VALUE(RIGHT('控制台'!B5,2))+1,1)-1-G196))</f>
        <v/>
      </c>
      <c r="K196">
        <f>IF(A196="","",IF(AND(AND('控制台'!B4&lt;&gt;"",'控制台'!B5&lt;&gt;"",'控制台'!B4='刷新信息'!B6,'控制台'!B5='刷新信息'!B8),A196='控制台'!B4,B196='控制台'!B5,OR(C196="应收",C196="应付"),COUNTIFS('往来余额'!A5:A6000,C196,'往来余额'!B5:B6000,D196)=1,E196&lt;&gt;"",COUNTIFS(A$5:A$504,A196,B$5:B$504,B196,C$5:C$504,C196,D$5:D$504,D196,E$5:E$504,E196)=1,ISNUMBER(F196),I196&gt;=0,ISNUMBER(H196),H196&gt;=0),"纳入","待核实"))</f>
        <v/>
      </c>
    </row>
    <row r="197">
      <c r="A197" s="13" t="n"/>
      <c r="B197" s="13" t="n"/>
      <c r="C197" s="13" t="n"/>
      <c r="D197" s="13" t="n"/>
      <c r="E197" s="13" t="n"/>
      <c r="F197" s="19" t="n"/>
      <c r="G197" s="19" t="n"/>
      <c r="H197" s="15" t="n"/>
      <c r="I197">
        <f>IF(OR(A197&lt;&gt; '控制台'!B4,B197&lt;&gt; '控制台'!B5,F197=""),"",DATE(VALUE(LEFT('控制台'!B5,4)),VALUE(RIGHT('控制台'!B5,2))+1,1)-1-F197)</f>
        <v/>
      </c>
      <c r="J197">
        <f>IF(OR(A197&lt;&gt; '控制台'!B4,B197&lt;&gt; '控制台'!B5,G197=""),"",MAX(0,DATE(VALUE(LEFT('控制台'!B5,4)),VALUE(RIGHT('控制台'!B5,2))+1,1)-1-G197))</f>
        <v/>
      </c>
      <c r="K197">
        <f>IF(A197="","",IF(AND(AND('控制台'!B4&lt;&gt;"",'控制台'!B5&lt;&gt;"",'控制台'!B4='刷新信息'!B6,'控制台'!B5='刷新信息'!B8),A197='控制台'!B4,B197='控制台'!B5,OR(C197="应收",C197="应付"),COUNTIFS('往来余额'!A5:A6000,C197,'往来余额'!B5:B6000,D197)=1,E197&lt;&gt;"",COUNTIFS(A$5:A$504,A197,B$5:B$504,B197,C$5:C$504,C197,D$5:D$504,D197,E$5:E$504,E197)=1,ISNUMBER(F197),I197&gt;=0,ISNUMBER(H197),H197&gt;=0),"纳入","待核实"))</f>
        <v/>
      </c>
    </row>
    <row r="198">
      <c r="A198" s="13" t="n"/>
      <c r="B198" s="13" t="n"/>
      <c r="C198" s="13" t="n"/>
      <c r="D198" s="13" t="n"/>
      <c r="E198" s="13" t="n"/>
      <c r="F198" s="19" t="n"/>
      <c r="G198" s="19" t="n"/>
      <c r="H198" s="15" t="n"/>
      <c r="I198">
        <f>IF(OR(A198&lt;&gt; '控制台'!B4,B198&lt;&gt; '控制台'!B5,F198=""),"",DATE(VALUE(LEFT('控制台'!B5,4)),VALUE(RIGHT('控制台'!B5,2))+1,1)-1-F198)</f>
        <v/>
      </c>
      <c r="J198">
        <f>IF(OR(A198&lt;&gt; '控制台'!B4,B198&lt;&gt; '控制台'!B5,G198=""),"",MAX(0,DATE(VALUE(LEFT('控制台'!B5,4)),VALUE(RIGHT('控制台'!B5,2))+1,1)-1-G198))</f>
        <v/>
      </c>
      <c r="K198">
        <f>IF(A198="","",IF(AND(AND('控制台'!B4&lt;&gt;"",'控制台'!B5&lt;&gt;"",'控制台'!B4='刷新信息'!B6,'控制台'!B5='刷新信息'!B8),A198='控制台'!B4,B198='控制台'!B5,OR(C198="应收",C198="应付"),COUNTIFS('往来余额'!A5:A6000,C198,'往来余额'!B5:B6000,D198)=1,E198&lt;&gt;"",COUNTIFS(A$5:A$504,A198,B$5:B$504,B198,C$5:C$504,C198,D$5:D$504,D198,E$5:E$504,E198)=1,ISNUMBER(F198),I198&gt;=0,ISNUMBER(H198),H198&gt;=0),"纳入","待核实"))</f>
        <v/>
      </c>
    </row>
    <row r="199">
      <c r="A199" s="13" t="n"/>
      <c r="B199" s="13" t="n"/>
      <c r="C199" s="13" t="n"/>
      <c r="D199" s="13" t="n"/>
      <c r="E199" s="13" t="n"/>
      <c r="F199" s="19" t="n"/>
      <c r="G199" s="19" t="n"/>
      <c r="H199" s="15" t="n"/>
      <c r="I199">
        <f>IF(OR(A199&lt;&gt; '控制台'!B4,B199&lt;&gt; '控制台'!B5,F199=""),"",DATE(VALUE(LEFT('控制台'!B5,4)),VALUE(RIGHT('控制台'!B5,2))+1,1)-1-F199)</f>
        <v/>
      </c>
      <c r="J199">
        <f>IF(OR(A199&lt;&gt; '控制台'!B4,B199&lt;&gt; '控制台'!B5,G199=""),"",MAX(0,DATE(VALUE(LEFT('控制台'!B5,4)),VALUE(RIGHT('控制台'!B5,2))+1,1)-1-G199))</f>
        <v/>
      </c>
      <c r="K199">
        <f>IF(A199="","",IF(AND(AND('控制台'!B4&lt;&gt;"",'控制台'!B5&lt;&gt;"",'控制台'!B4='刷新信息'!B6,'控制台'!B5='刷新信息'!B8),A199='控制台'!B4,B199='控制台'!B5,OR(C199="应收",C199="应付"),COUNTIFS('往来余额'!A5:A6000,C199,'往来余额'!B5:B6000,D199)=1,E199&lt;&gt;"",COUNTIFS(A$5:A$504,A199,B$5:B$504,B199,C$5:C$504,C199,D$5:D$504,D199,E$5:E$504,E199)=1,ISNUMBER(F199),I199&gt;=0,ISNUMBER(H199),H199&gt;=0),"纳入","待核实"))</f>
        <v/>
      </c>
    </row>
    <row r="200">
      <c r="A200" s="13" t="n"/>
      <c r="B200" s="13" t="n"/>
      <c r="C200" s="13" t="n"/>
      <c r="D200" s="13" t="n"/>
      <c r="E200" s="13" t="n"/>
      <c r="F200" s="19" t="n"/>
      <c r="G200" s="19" t="n"/>
      <c r="H200" s="15" t="n"/>
      <c r="I200">
        <f>IF(OR(A200&lt;&gt; '控制台'!B4,B200&lt;&gt; '控制台'!B5,F200=""),"",DATE(VALUE(LEFT('控制台'!B5,4)),VALUE(RIGHT('控制台'!B5,2))+1,1)-1-F200)</f>
        <v/>
      </c>
      <c r="J200">
        <f>IF(OR(A200&lt;&gt; '控制台'!B4,B200&lt;&gt; '控制台'!B5,G200=""),"",MAX(0,DATE(VALUE(LEFT('控制台'!B5,4)),VALUE(RIGHT('控制台'!B5,2))+1,1)-1-G200))</f>
        <v/>
      </c>
      <c r="K200">
        <f>IF(A200="","",IF(AND(AND('控制台'!B4&lt;&gt;"",'控制台'!B5&lt;&gt;"",'控制台'!B4='刷新信息'!B6,'控制台'!B5='刷新信息'!B8),A200='控制台'!B4,B200='控制台'!B5,OR(C200="应收",C200="应付"),COUNTIFS('往来余额'!A5:A6000,C200,'往来余额'!B5:B6000,D200)=1,E200&lt;&gt;"",COUNTIFS(A$5:A$504,A200,B$5:B$504,B200,C$5:C$504,C200,D$5:D$504,D200,E$5:E$504,E200)=1,ISNUMBER(F200),I200&gt;=0,ISNUMBER(H200),H200&gt;=0),"纳入","待核实"))</f>
        <v/>
      </c>
    </row>
    <row r="201">
      <c r="A201" s="13" t="n"/>
      <c r="B201" s="13" t="n"/>
      <c r="C201" s="13" t="n"/>
      <c r="D201" s="13" t="n"/>
      <c r="E201" s="13" t="n"/>
      <c r="F201" s="19" t="n"/>
      <c r="G201" s="19" t="n"/>
      <c r="H201" s="15" t="n"/>
      <c r="I201">
        <f>IF(OR(A201&lt;&gt; '控制台'!B4,B201&lt;&gt; '控制台'!B5,F201=""),"",DATE(VALUE(LEFT('控制台'!B5,4)),VALUE(RIGHT('控制台'!B5,2))+1,1)-1-F201)</f>
        <v/>
      </c>
      <c r="J201">
        <f>IF(OR(A201&lt;&gt; '控制台'!B4,B201&lt;&gt; '控制台'!B5,G201=""),"",MAX(0,DATE(VALUE(LEFT('控制台'!B5,4)),VALUE(RIGHT('控制台'!B5,2))+1,1)-1-G201))</f>
        <v/>
      </c>
      <c r="K201">
        <f>IF(A201="","",IF(AND(AND('控制台'!B4&lt;&gt;"",'控制台'!B5&lt;&gt;"",'控制台'!B4='刷新信息'!B6,'控制台'!B5='刷新信息'!B8),A201='控制台'!B4,B201='控制台'!B5,OR(C201="应收",C201="应付"),COUNTIFS('往来余额'!A5:A6000,C201,'往来余额'!B5:B6000,D201)=1,E201&lt;&gt;"",COUNTIFS(A$5:A$504,A201,B$5:B$504,B201,C$5:C$504,C201,D$5:D$504,D201,E$5:E$504,E201)=1,ISNUMBER(F201),I201&gt;=0,ISNUMBER(H201),H201&gt;=0),"纳入","待核实"))</f>
        <v/>
      </c>
    </row>
    <row r="202">
      <c r="A202" s="13" t="n"/>
      <c r="B202" s="13" t="n"/>
      <c r="C202" s="13" t="n"/>
      <c r="D202" s="13" t="n"/>
      <c r="E202" s="13" t="n"/>
      <c r="F202" s="19" t="n"/>
      <c r="G202" s="19" t="n"/>
      <c r="H202" s="15" t="n"/>
      <c r="I202">
        <f>IF(OR(A202&lt;&gt; '控制台'!B4,B202&lt;&gt; '控制台'!B5,F202=""),"",DATE(VALUE(LEFT('控制台'!B5,4)),VALUE(RIGHT('控制台'!B5,2))+1,1)-1-F202)</f>
        <v/>
      </c>
      <c r="J202">
        <f>IF(OR(A202&lt;&gt; '控制台'!B4,B202&lt;&gt; '控制台'!B5,G202=""),"",MAX(0,DATE(VALUE(LEFT('控制台'!B5,4)),VALUE(RIGHT('控制台'!B5,2))+1,1)-1-G202))</f>
        <v/>
      </c>
      <c r="K202">
        <f>IF(A202="","",IF(AND(AND('控制台'!B4&lt;&gt;"",'控制台'!B5&lt;&gt;"",'控制台'!B4='刷新信息'!B6,'控制台'!B5='刷新信息'!B8),A202='控制台'!B4,B202='控制台'!B5,OR(C202="应收",C202="应付"),COUNTIFS('往来余额'!A5:A6000,C202,'往来余额'!B5:B6000,D202)=1,E202&lt;&gt;"",COUNTIFS(A$5:A$504,A202,B$5:B$504,B202,C$5:C$504,C202,D$5:D$504,D202,E$5:E$504,E202)=1,ISNUMBER(F202),I202&gt;=0,ISNUMBER(H202),H202&gt;=0),"纳入","待核实"))</f>
        <v/>
      </c>
    </row>
    <row r="203">
      <c r="A203" s="13" t="n"/>
      <c r="B203" s="13" t="n"/>
      <c r="C203" s="13" t="n"/>
      <c r="D203" s="13" t="n"/>
      <c r="E203" s="13" t="n"/>
      <c r="F203" s="19" t="n"/>
      <c r="G203" s="19" t="n"/>
      <c r="H203" s="15" t="n"/>
      <c r="I203">
        <f>IF(OR(A203&lt;&gt; '控制台'!B4,B203&lt;&gt; '控制台'!B5,F203=""),"",DATE(VALUE(LEFT('控制台'!B5,4)),VALUE(RIGHT('控制台'!B5,2))+1,1)-1-F203)</f>
        <v/>
      </c>
      <c r="J203">
        <f>IF(OR(A203&lt;&gt; '控制台'!B4,B203&lt;&gt; '控制台'!B5,G203=""),"",MAX(0,DATE(VALUE(LEFT('控制台'!B5,4)),VALUE(RIGHT('控制台'!B5,2))+1,1)-1-G203))</f>
        <v/>
      </c>
      <c r="K203">
        <f>IF(A203="","",IF(AND(AND('控制台'!B4&lt;&gt;"",'控制台'!B5&lt;&gt;"",'控制台'!B4='刷新信息'!B6,'控制台'!B5='刷新信息'!B8),A203='控制台'!B4,B203='控制台'!B5,OR(C203="应收",C203="应付"),COUNTIFS('往来余额'!A5:A6000,C203,'往来余额'!B5:B6000,D203)=1,E203&lt;&gt;"",COUNTIFS(A$5:A$504,A203,B$5:B$504,B203,C$5:C$504,C203,D$5:D$504,D203,E$5:E$504,E203)=1,ISNUMBER(F203),I203&gt;=0,ISNUMBER(H203),H203&gt;=0),"纳入","待核实"))</f>
        <v/>
      </c>
    </row>
    <row r="204">
      <c r="A204" s="13" t="n"/>
      <c r="B204" s="13" t="n"/>
      <c r="C204" s="13" t="n"/>
      <c r="D204" s="13" t="n"/>
      <c r="E204" s="13" t="n"/>
      <c r="F204" s="19" t="n"/>
      <c r="G204" s="19" t="n"/>
      <c r="H204" s="15" t="n"/>
      <c r="I204">
        <f>IF(OR(A204&lt;&gt; '控制台'!B4,B204&lt;&gt; '控制台'!B5,F204=""),"",DATE(VALUE(LEFT('控制台'!B5,4)),VALUE(RIGHT('控制台'!B5,2))+1,1)-1-F204)</f>
        <v/>
      </c>
      <c r="J204">
        <f>IF(OR(A204&lt;&gt; '控制台'!B4,B204&lt;&gt; '控制台'!B5,G204=""),"",MAX(0,DATE(VALUE(LEFT('控制台'!B5,4)),VALUE(RIGHT('控制台'!B5,2))+1,1)-1-G204))</f>
        <v/>
      </c>
      <c r="K204">
        <f>IF(A204="","",IF(AND(AND('控制台'!B4&lt;&gt;"",'控制台'!B5&lt;&gt;"",'控制台'!B4='刷新信息'!B6,'控制台'!B5='刷新信息'!B8),A204='控制台'!B4,B204='控制台'!B5,OR(C204="应收",C204="应付"),COUNTIFS('往来余额'!A5:A6000,C204,'往来余额'!B5:B6000,D204)=1,E204&lt;&gt;"",COUNTIFS(A$5:A$504,A204,B$5:B$504,B204,C$5:C$504,C204,D$5:D$504,D204,E$5:E$504,E204)=1,ISNUMBER(F204),I204&gt;=0,ISNUMBER(H204),H204&gt;=0),"纳入","待核实"))</f>
        <v/>
      </c>
    </row>
    <row r="205">
      <c r="A205" s="13" t="n"/>
      <c r="B205" s="13" t="n"/>
      <c r="C205" s="13" t="n"/>
      <c r="D205" s="13" t="n"/>
      <c r="E205" s="13" t="n"/>
      <c r="F205" s="19" t="n"/>
      <c r="G205" s="19" t="n"/>
      <c r="H205" s="15" t="n"/>
      <c r="I205">
        <f>IF(OR(A205&lt;&gt; '控制台'!B4,B205&lt;&gt; '控制台'!B5,F205=""),"",DATE(VALUE(LEFT('控制台'!B5,4)),VALUE(RIGHT('控制台'!B5,2))+1,1)-1-F205)</f>
        <v/>
      </c>
      <c r="J205">
        <f>IF(OR(A205&lt;&gt; '控制台'!B4,B205&lt;&gt; '控制台'!B5,G205=""),"",MAX(0,DATE(VALUE(LEFT('控制台'!B5,4)),VALUE(RIGHT('控制台'!B5,2))+1,1)-1-G205))</f>
        <v/>
      </c>
      <c r="K205">
        <f>IF(A205="","",IF(AND(AND('控制台'!B4&lt;&gt;"",'控制台'!B5&lt;&gt;"",'控制台'!B4='刷新信息'!B6,'控制台'!B5='刷新信息'!B8),A205='控制台'!B4,B205='控制台'!B5,OR(C205="应收",C205="应付"),COUNTIFS('往来余额'!A5:A6000,C205,'往来余额'!B5:B6000,D205)=1,E205&lt;&gt;"",COUNTIFS(A$5:A$504,A205,B$5:B$504,B205,C$5:C$504,C205,D$5:D$504,D205,E$5:E$504,E205)=1,ISNUMBER(F205),I205&gt;=0,ISNUMBER(H205),H205&gt;=0),"纳入","待核实"))</f>
        <v/>
      </c>
    </row>
    <row r="206">
      <c r="A206" s="13" t="n"/>
      <c r="B206" s="13" t="n"/>
      <c r="C206" s="13" t="n"/>
      <c r="D206" s="13" t="n"/>
      <c r="E206" s="13" t="n"/>
      <c r="F206" s="19" t="n"/>
      <c r="G206" s="19" t="n"/>
      <c r="H206" s="15" t="n"/>
      <c r="I206">
        <f>IF(OR(A206&lt;&gt; '控制台'!B4,B206&lt;&gt; '控制台'!B5,F206=""),"",DATE(VALUE(LEFT('控制台'!B5,4)),VALUE(RIGHT('控制台'!B5,2))+1,1)-1-F206)</f>
        <v/>
      </c>
      <c r="J206">
        <f>IF(OR(A206&lt;&gt; '控制台'!B4,B206&lt;&gt; '控制台'!B5,G206=""),"",MAX(0,DATE(VALUE(LEFT('控制台'!B5,4)),VALUE(RIGHT('控制台'!B5,2))+1,1)-1-G206))</f>
        <v/>
      </c>
      <c r="K206">
        <f>IF(A206="","",IF(AND(AND('控制台'!B4&lt;&gt;"",'控制台'!B5&lt;&gt;"",'控制台'!B4='刷新信息'!B6,'控制台'!B5='刷新信息'!B8),A206='控制台'!B4,B206='控制台'!B5,OR(C206="应收",C206="应付"),COUNTIFS('往来余额'!A5:A6000,C206,'往来余额'!B5:B6000,D206)=1,E206&lt;&gt;"",COUNTIFS(A$5:A$504,A206,B$5:B$504,B206,C$5:C$504,C206,D$5:D$504,D206,E$5:E$504,E206)=1,ISNUMBER(F206),I206&gt;=0,ISNUMBER(H206),H206&gt;=0),"纳入","待核实"))</f>
        <v/>
      </c>
    </row>
    <row r="207">
      <c r="A207" s="13" t="n"/>
      <c r="B207" s="13" t="n"/>
      <c r="C207" s="13" t="n"/>
      <c r="D207" s="13" t="n"/>
      <c r="E207" s="13" t="n"/>
      <c r="F207" s="19" t="n"/>
      <c r="G207" s="19" t="n"/>
      <c r="H207" s="15" t="n"/>
      <c r="I207">
        <f>IF(OR(A207&lt;&gt; '控制台'!B4,B207&lt;&gt; '控制台'!B5,F207=""),"",DATE(VALUE(LEFT('控制台'!B5,4)),VALUE(RIGHT('控制台'!B5,2))+1,1)-1-F207)</f>
        <v/>
      </c>
      <c r="J207">
        <f>IF(OR(A207&lt;&gt; '控制台'!B4,B207&lt;&gt; '控制台'!B5,G207=""),"",MAX(0,DATE(VALUE(LEFT('控制台'!B5,4)),VALUE(RIGHT('控制台'!B5,2))+1,1)-1-G207))</f>
        <v/>
      </c>
      <c r="K207">
        <f>IF(A207="","",IF(AND(AND('控制台'!B4&lt;&gt;"",'控制台'!B5&lt;&gt;"",'控制台'!B4='刷新信息'!B6,'控制台'!B5='刷新信息'!B8),A207='控制台'!B4,B207='控制台'!B5,OR(C207="应收",C207="应付"),COUNTIFS('往来余额'!A5:A6000,C207,'往来余额'!B5:B6000,D207)=1,E207&lt;&gt;"",COUNTIFS(A$5:A$504,A207,B$5:B$504,B207,C$5:C$504,C207,D$5:D$504,D207,E$5:E$504,E207)=1,ISNUMBER(F207),I207&gt;=0,ISNUMBER(H207),H207&gt;=0),"纳入","待核实"))</f>
        <v/>
      </c>
    </row>
    <row r="208">
      <c r="A208" s="13" t="n"/>
      <c r="B208" s="13" t="n"/>
      <c r="C208" s="13" t="n"/>
      <c r="D208" s="13" t="n"/>
      <c r="E208" s="13" t="n"/>
      <c r="F208" s="19" t="n"/>
      <c r="G208" s="19" t="n"/>
      <c r="H208" s="15" t="n"/>
      <c r="I208">
        <f>IF(OR(A208&lt;&gt; '控制台'!B4,B208&lt;&gt; '控制台'!B5,F208=""),"",DATE(VALUE(LEFT('控制台'!B5,4)),VALUE(RIGHT('控制台'!B5,2))+1,1)-1-F208)</f>
        <v/>
      </c>
      <c r="J208">
        <f>IF(OR(A208&lt;&gt; '控制台'!B4,B208&lt;&gt; '控制台'!B5,G208=""),"",MAX(0,DATE(VALUE(LEFT('控制台'!B5,4)),VALUE(RIGHT('控制台'!B5,2))+1,1)-1-G208))</f>
        <v/>
      </c>
      <c r="K208">
        <f>IF(A208="","",IF(AND(AND('控制台'!B4&lt;&gt;"",'控制台'!B5&lt;&gt;"",'控制台'!B4='刷新信息'!B6,'控制台'!B5='刷新信息'!B8),A208='控制台'!B4,B208='控制台'!B5,OR(C208="应收",C208="应付"),COUNTIFS('往来余额'!A5:A6000,C208,'往来余额'!B5:B6000,D208)=1,E208&lt;&gt;"",COUNTIFS(A$5:A$504,A208,B$5:B$504,B208,C$5:C$504,C208,D$5:D$504,D208,E$5:E$504,E208)=1,ISNUMBER(F208),I208&gt;=0,ISNUMBER(H208),H208&gt;=0),"纳入","待核实"))</f>
        <v/>
      </c>
    </row>
    <row r="209">
      <c r="A209" s="13" t="n"/>
      <c r="B209" s="13" t="n"/>
      <c r="C209" s="13" t="n"/>
      <c r="D209" s="13" t="n"/>
      <c r="E209" s="13" t="n"/>
      <c r="F209" s="19" t="n"/>
      <c r="G209" s="19" t="n"/>
      <c r="H209" s="15" t="n"/>
      <c r="I209">
        <f>IF(OR(A209&lt;&gt; '控制台'!B4,B209&lt;&gt; '控制台'!B5,F209=""),"",DATE(VALUE(LEFT('控制台'!B5,4)),VALUE(RIGHT('控制台'!B5,2))+1,1)-1-F209)</f>
        <v/>
      </c>
      <c r="J209">
        <f>IF(OR(A209&lt;&gt; '控制台'!B4,B209&lt;&gt; '控制台'!B5,G209=""),"",MAX(0,DATE(VALUE(LEFT('控制台'!B5,4)),VALUE(RIGHT('控制台'!B5,2))+1,1)-1-G209))</f>
        <v/>
      </c>
      <c r="K209">
        <f>IF(A209="","",IF(AND(AND('控制台'!B4&lt;&gt;"",'控制台'!B5&lt;&gt;"",'控制台'!B4='刷新信息'!B6,'控制台'!B5='刷新信息'!B8),A209='控制台'!B4,B209='控制台'!B5,OR(C209="应收",C209="应付"),COUNTIFS('往来余额'!A5:A6000,C209,'往来余额'!B5:B6000,D209)=1,E209&lt;&gt;"",COUNTIFS(A$5:A$504,A209,B$5:B$504,B209,C$5:C$504,C209,D$5:D$504,D209,E$5:E$504,E209)=1,ISNUMBER(F209),I209&gt;=0,ISNUMBER(H209),H209&gt;=0),"纳入","待核实"))</f>
        <v/>
      </c>
    </row>
    <row r="210">
      <c r="A210" s="13" t="n"/>
      <c r="B210" s="13" t="n"/>
      <c r="C210" s="13" t="n"/>
      <c r="D210" s="13" t="n"/>
      <c r="E210" s="13" t="n"/>
      <c r="F210" s="19" t="n"/>
      <c r="G210" s="19" t="n"/>
      <c r="H210" s="15" t="n"/>
      <c r="I210">
        <f>IF(OR(A210&lt;&gt; '控制台'!B4,B210&lt;&gt; '控制台'!B5,F210=""),"",DATE(VALUE(LEFT('控制台'!B5,4)),VALUE(RIGHT('控制台'!B5,2))+1,1)-1-F210)</f>
        <v/>
      </c>
      <c r="J210">
        <f>IF(OR(A210&lt;&gt; '控制台'!B4,B210&lt;&gt; '控制台'!B5,G210=""),"",MAX(0,DATE(VALUE(LEFT('控制台'!B5,4)),VALUE(RIGHT('控制台'!B5,2))+1,1)-1-G210))</f>
        <v/>
      </c>
      <c r="K210">
        <f>IF(A210="","",IF(AND(AND('控制台'!B4&lt;&gt;"",'控制台'!B5&lt;&gt;"",'控制台'!B4='刷新信息'!B6,'控制台'!B5='刷新信息'!B8),A210='控制台'!B4,B210='控制台'!B5,OR(C210="应收",C210="应付"),COUNTIFS('往来余额'!A5:A6000,C210,'往来余额'!B5:B6000,D210)=1,E210&lt;&gt;"",COUNTIFS(A$5:A$504,A210,B$5:B$504,B210,C$5:C$504,C210,D$5:D$504,D210,E$5:E$504,E210)=1,ISNUMBER(F210),I210&gt;=0,ISNUMBER(H210),H210&gt;=0),"纳入","待核实"))</f>
        <v/>
      </c>
    </row>
    <row r="211">
      <c r="A211" s="13" t="n"/>
      <c r="B211" s="13" t="n"/>
      <c r="C211" s="13" t="n"/>
      <c r="D211" s="13" t="n"/>
      <c r="E211" s="13" t="n"/>
      <c r="F211" s="19" t="n"/>
      <c r="G211" s="19" t="n"/>
      <c r="H211" s="15" t="n"/>
      <c r="I211">
        <f>IF(OR(A211&lt;&gt; '控制台'!B4,B211&lt;&gt; '控制台'!B5,F211=""),"",DATE(VALUE(LEFT('控制台'!B5,4)),VALUE(RIGHT('控制台'!B5,2))+1,1)-1-F211)</f>
        <v/>
      </c>
      <c r="J211">
        <f>IF(OR(A211&lt;&gt; '控制台'!B4,B211&lt;&gt; '控制台'!B5,G211=""),"",MAX(0,DATE(VALUE(LEFT('控制台'!B5,4)),VALUE(RIGHT('控制台'!B5,2))+1,1)-1-G211))</f>
        <v/>
      </c>
      <c r="K211">
        <f>IF(A211="","",IF(AND(AND('控制台'!B4&lt;&gt;"",'控制台'!B5&lt;&gt;"",'控制台'!B4='刷新信息'!B6,'控制台'!B5='刷新信息'!B8),A211='控制台'!B4,B211='控制台'!B5,OR(C211="应收",C211="应付"),COUNTIFS('往来余额'!A5:A6000,C211,'往来余额'!B5:B6000,D211)=1,E211&lt;&gt;"",COUNTIFS(A$5:A$504,A211,B$5:B$504,B211,C$5:C$504,C211,D$5:D$504,D211,E$5:E$504,E211)=1,ISNUMBER(F211),I211&gt;=0,ISNUMBER(H211),H211&gt;=0),"纳入","待核实"))</f>
        <v/>
      </c>
    </row>
    <row r="212">
      <c r="A212" s="13" t="n"/>
      <c r="B212" s="13" t="n"/>
      <c r="C212" s="13" t="n"/>
      <c r="D212" s="13" t="n"/>
      <c r="E212" s="13" t="n"/>
      <c r="F212" s="19" t="n"/>
      <c r="G212" s="19" t="n"/>
      <c r="H212" s="15" t="n"/>
      <c r="I212">
        <f>IF(OR(A212&lt;&gt; '控制台'!B4,B212&lt;&gt; '控制台'!B5,F212=""),"",DATE(VALUE(LEFT('控制台'!B5,4)),VALUE(RIGHT('控制台'!B5,2))+1,1)-1-F212)</f>
        <v/>
      </c>
      <c r="J212">
        <f>IF(OR(A212&lt;&gt; '控制台'!B4,B212&lt;&gt; '控制台'!B5,G212=""),"",MAX(0,DATE(VALUE(LEFT('控制台'!B5,4)),VALUE(RIGHT('控制台'!B5,2))+1,1)-1-G212))</f>
        <v/>
      </c>
      <c r="K212">
        <f>IF(A212="","",IF(AND(AND('控制台'!B4&lt;&gt;"",'控制台'!B5&lt;&gt;"",'控制台'!B4='刷新信息'!B6,'控制台'!B5='刷新信息'!B8),A212='控制台'!B4,B212='控制台'!B5,OR(C212="应收",C212="应付"),COUNTIFS('往来余额'!A5:A6000,C212,'往来余额'!B5:B6000,D212)=1,E212&lt;&gt;"",COUNTIFS(A$5:A$504,A212,B$5:B$504,B212,C$5:C$504,C212,D$5:D$504,D212,E$5:E$504,E212)=1,ISNUMBER(F212),I212&gt;=0,ISNUMBER(H212),H212&gt;=0),"纳入","待核实"))</f>
        <v/>
      </c>
    </row>
    <row r="213">
      <c r="A213" s="13" t="n"/>
      <c r="B213" s="13" t="n"/>
      <c r="C213" s="13" t="n"/>
      <c r="D213" s="13" t="n"/>
      <c r="E213" s="13" t="n"/>
      <c r="F213" s="19" t="n"/>
      <c r="G213" s="19" t="n"/>
      <c r="H213" s="15" t="n"/>
      <c r="I213">
        <f>IF(OR(A213&lt;&gt; '控制台'!B4,B213&lt;&gt; '控制台'!B5,F213=""),"",DATE(VALUE(LEFT('控制台'!B5,4)),VALUE(RIGHT('控制台'!B5,2))+1,1)-1-F213)</f>
        <v/>
      </c>
      <c r="J213">
        <f>IF(OR(A213&lt;&gt; '控制台'!B4,B213&lt;&gt; '控制台'!B5,G213=""),"",MAX(0,DATE(VALUE(LEFT('控制台'!B5,4)),VALUE(RIGHT('控制台'!B5,2))+1,1)-1-G213))</f>
        <v/>
      </c>
      <c r="K213">
        <f>IF(A213="","",IF(AND(AND('控制台'!B4&lt;&gt;"",'控制台'!B5&lt;&gt;"",'控制台'!B4='刷新信息'!B6,'控制台'!B5='刷新信息'!B8),A213='控制台'!B4,B213='控制台'!B5,OR(C213="应收",C213="应付"),COUNTIFS('往来余额'!A5:A6000,C213,'往来余额'!B5:B6000,D213)=1,E213&lt;&gt;"",COUNTIFS(A$5:A$504,A213,B$5:B$504,B213,C$5:C$504,C213,D$5:D$504,D213,E$5:E$504,E213)=1,ISNUMBER(F213),I213&gt;=0,ISNUMBER(H213),H213&gt;=0),"纳入","待核实"))</f>
        <v/>
      </c>
    </row>
    <row r="214">
      <c r="A214" s="13" t="n"/>
      <c r="B214" s="13" t="n"/>
      <c r="C214" s="13" t="n"/>
      <c r="D214" s="13" t="n"/>
      <c r="E214" s="13" t="n"/>
      <c r="F214" s="19" t="n"/>
      <c r="G214" s="19" t="n"/>
      <c r="H214" s="15" t="n"/>
      <c r="I214">
        <f>IF(OR(A214&lt;&gt; '控制台'!B4,B214&lt;&gt; '控制台'!B5,F214=""),"",DATE(VALUE(LEFT('控制台'!B5,4)),VALUE(RIGHT('控制台'!B5,2))+1,1)-1-F214)</f>
        <v/>
      </c>
      <c r="J214">
        <f>IF(OR(A214&lt;&gt; '控制台'!B4,B214&lt;&gt; '控制台'!B5,G214=""),"",MAX(0,DATE(VALUE(LEFT('控制台'!B5,4)),VALUE(RIGHT('控制台'!B5,2))+1,1)-1-G214))</f>
        <v/>
      </c>
      <c r="K214">
        <f>IF(A214="","",IF(AND(AND('控制台'!B4&lt;&gt;"",'控制台'!B5&lt;&gt;"",'控制台'!B4='刷新信息'!B6,'控制台'!B5='刷新信息'!B8),A214='控制台'!B4,B214='控制台'!B5,OR(C214="应收",C214="应付"),COUNTIFS('往来余额'!A5:A6000,C214,'往来余额'!B5:B6000,D214)=1,E214&lt;&gt;"",COUNTIFS(A$5:A$504,A214,B$5:B$504,B214,C$5:C$504,C214,D$5:D$504,D214,E$5:E$504,E214)=1,ISNUMBER(F214),I214&gt;=0,ISNUMBER(H214),H214&gt;=0),"纳入","待核实"))</f>
        <v/>
      </c>
    </row>
    <row r="215">
      <c r="A215" s="13" t="n"/>
      <c r="B215" s="13" t="n"/>
      <c r="C215" s="13" t="n"/>
      <c r="D215" s="13" t="n"/>
      <c r="E215" s="13" t="n"/>
      <c r="F215" s="19" t="n"/>
      <c r="G215" s="19" t="n"/>
      <c r="H215" s="15" t="n"/>
      <c r="I215">
        <f>IF(OR(A215&lt;&gt; '控制台'!B4,B215&lt;&gt; '控制台'!B5,F215=""),"",DATE(VALUE(LEFT('控制台'!B5,4)),VALUE(RIGHT('控制台'!B5,2))+1,1)-1-F215)</f>
        <v/>
      </c>
      <c r="J215">
        <f>IF(OR(A215&lt;&gt; '控制台'!B4,B215&lt;&gt; '控制台'!B5,G215=""),"",MAX(0,DATE(VALUE(LEFT('控制台'!B5,4)),VALUE(RIGHT('控制台'!B5,2))+1,1)-1-G215))</f>
        <v/>
      </c>
      <c r="K215">
        <f>IF(A215="","",IF(AND(AND('控制台'!B4&lt;&gt;"",'控制台'!B5&lt;&gt;"",'控制台'!B4='刷新信息'!B6,'控制台'!B5='刷新信息'!B8),A215='控制台'!B4,B215='控制台'!B5,OR(C215="应收",C215="应付"),COUNTIFS('往来余额'!A5:A6000,C215,'往来余额'!B5:B6000,D215)=1,E215&lt;&gt;"",COUNTIFS(A$5:A$504,A215,B$5:B$504,B215,C$5:C$504,C215,D$5:D$504,D215,E$5:E$504,E215)=1,ISNUMBER(F215),I215&gt;=0,ISNUMBER(H215),H215&gt;=0),"纳入","待核实"))</f>
        <v/>
      </c>
    </row>
    <row r="216">
      <c r="A216" s="13" t="n"/>
      <c r="B216" s="13" t="n"/>
      <c r="C216" s="13" t="n"/>
      <c r="D216" s="13" t="n"/>
      <c r="E216" s="13" t="n"/>
      <c r="F216" s="19" t="n"/>
      <c r="G216" s="19" t="n"/>
      <c r="H216" s="15" t="n"/>
      <c r="I216">
        <f>IF(OR(A216&lt;&gt; '控制台'!B4,B216&lt;&gt; '控制台'!B5,F216=""),"",DATE(VALUE(LEFT('控制台'!B5,4)),VALUE(RIGHT('控制台'!B5,2))+1,1)-1-F216)</f>
        <v/>
      </c>
      <c r="J216">
        <f>IF(OR(A216&lt;&gt; '控制台'!B4,B216&lt;&gt; '控制台'!B5,G216=""),"",MAX(0,DATE(VALUE(LEFT('控制台'!B5,4)),VALUE(RIGHT('控制台'!B5,2))+1,1)-1-G216))</f>
        <v/>
      </c>
      <c r="K216">
        <f>IF(A216="","",IF(AND(AND('控制台'!B4&lt;&gt;"",'控制台'!B5&lt;&gt;"",'控制台'!B4='刷新信息'!B6,'控制台'!B5='刷新信息'!B8),A216='控制台'!B4,B216='控制台'!B5,OR(C216="应收",C216="应付"),COUNTIFS('往来余额'!A5:A6000,C216,'往来余额'!B5:B6000,D216)=1,E216&lt;&gt;"",COUNTIFS(A$5:A$504,A216,B$5:B$504,B216,C$5:C$504,C216,D$5:D$504,D216,E$5:E$504,E216)=1,ISNUMBER(F216),I216&gt;=0,ISNUMBER(H216),H216&gt;=0),"纳入","待核实"))</f>
        <v/>
      </c>
    </row>
    <row r="217">
      <c r="A217" s="13" t="n"/>
      <c r="B217" s="13" t="n"/>
      <c r="C217" s="13" t="n"/>
      <c r="D217" s="13" t="n"/>
      <c r="E217" s="13" t="n"/>
      <c r="F217" s="19" t="n"/>
      <c r="G217" s="19" t="n"/>
      <c r="H217" s="15" t="n"/>
      <c r="I217">
        <f>IF(OR(A217&lt;&gt; '控制台'!B4,B217&lt;&gt; '控制台'!B5,F217=""),"",DATE(VALUE(LEFT('控制台'!B5,4)),VALUE(RIGHT('控制台'!B5,2))+1,1)-1-F217)</f>
        <v/>
      </c>
      <c r="J217">
        <f>IF(OR(A217&lt;&gt; '控制台'!B4,B217&lt;&gt; '控制台'!B5,G217=""),"",MAX(0,DATE(VALUE(LEFT('控制台'!B5,4)),VALUE(RIGHT('控制台'!B5,2))+1,1)-1-G217))</f>
        <v/>
      </c>
      <c r="K217">
        <f>IF(A217="","",IF(AND(AND('控制台'!B4&lt;&gt;"",'控制台'!B5&lt;&gt;"",'控制台'!B4='刷新信息'!B6,'控制台'!B5='刷新信息'!B8),A217='控制台'!B4,B217='控制台'!B5,OR(C217="应收",C217="应付"),COUNTIFS('往来余额'!A5:A6000,C217,'往来余额'!B5:B6000,D217)=1,E217&lt;&gt;"",COUNTIFS(A$5:A$504,A217,B$5:B$504,B217,C$5:C$504,C217,D$5:D$504,D217,E$5:E$504,E217)=1,ISNUMBER(F217),I217&gt;=0,ISNUMBER(H217),H217&gt;=0),"纳入","待核实"))</f>
        <v/>
      </c>
    </row>
    <row r="218">
      <c r="A218" s="13" t="n"/>
      <c r="B218" s="13" t="n"/>
      <c r="C218" s="13" t="n"/>
      <c r="D218" s="13" t="n"/>
      <c r="E218" s="13" t="n"/>
      <c r="F218" s="19" t="n"/>
      <c r="G218" s="19" t="n"/>
      <c r="H218" s="15" t="n"/>
      <c r="I218">
        <f>IF(OR(A218&lt;&gt; '控制台'!B4,B218&lt;&gt; '控制台'!B5,F218=""),"",DATE(VALUE(LEFT('控制台'!B5,4)),VALUE(RIGHT('控制台'!B5,2))+1,1)-1-F218)</f>
        <v/>
      </c>
      <c r="J218">
        <f>IF(OR(A218&lt;&gt; '控制台'!B4,B218&lt;&gt; '控制台'!B5,G218=""),"",MAX(0,DATE(VALUE(LEFT('控制台'!B5,4)),VALUE(RIGHT('控制台'!B5,2))+1,1)-1-G218))</f>
        <v/>
      </c>
      <c r="K218">
        <f>IF(A218="","",IF(AND(AND('控制台'!B4&lt;&gt;"",'控制台'!B5&lt;&gt;"",'控制台'!B4='刷新信息'!B6,'控制台'!B5='刷新信息'!B8),A218='控制台'!B4,B218='控制台'!B5,OR(C218="应收",C218="应付"),COUNTIFS('往来余额'!A5:A6000,C218,'往来余额'!B5:B6000,D218)=1,E218&lt;&gt;"",COUNTIFS(A$5:A$504,A218,B$5:B$504,B218,C$5:C$504,C218,D$5:D$504,D218,E$5:E$504,E218)=1,ISNUMBER(F218),I218&gt;=0,ISNUMBER(H218),H218&gt;=0),"纳入","待核实"))</f>
        <v/>
      </c>
    </row>
    <row r="219">
      <c r="A219" s="13" t="n"/>
      <c r="B219" s="13" t="n"/>
      <c r="C219" s="13" t="n"/>
      <c r="D219" s="13" t="n"/>
      <c r="E219" s="13" t="n"/>
      <c r="F219" s="19" t="n"/>
      <c r="G219" s="19" t="n"/>
      <c r="H219" s="15" t="n"/>
      <c r="I219">
        <f>IF(OR(A219&lt;&gt; '控制台'!B4,B219&lt;&gt; '控制台'!B5,F219=""),"",DATE(VALUE(LEFT('控制台'!B5,4)),VALUE(RIGHT('控制台'!B5,2))+1,1)-1-F219)</f>
        <v/>
      </c>
      <c r="J219">
        <f>IF(OR(A219&lt;&gt; '控制台'!B4,B219&lt;&gt; '控制台'!B5,G219=""),"",MAX(0,DATE(VALUE(LEFT('控制台'!B5,4)),VALUE(RIGHT('控制台'!B5,2))+1,1)-1-G219))</f>
        <v/>
      </c>
      <c r="K219">
        <f>IF(A219="","",IF(AND(AND('控制台'!B4&lt;&gt;"",'控制台'!B5&lt;&gt;"",'控制台'!B4='刷新信息'!B6,'控制台'!B5='刷新信息'!B8),A219='控制台'!B4,B219='控制台'!B5,OR(C219="应收",C219="应付"),COUNTIFS('往来余额'!A5:A6000,C219,'往来余额'!B5:B6000,D219)=1,E219&lt;&gt;"",COUNTIFS(A$5:A$504,A219,B$5:B$504,B219,C$5:C$504,C219,D$5:D$504,D219,E$5:E$504,E219)=1,ISNUMBER(F219),I219&gt;=0,ISNUMBER(H219),H219&gt;=0),"纳入","待核实"))</f>
        <v/>
      </c>
    </row>
    <row r="220">
      <c r="A220" s="13" t="n"/>
      <c r="B220" s="13" t="n"/>
      <c r="C220" s="13" t="n"/>
      <c r="D220" s="13" t="n"/>
      <c r="E220" s="13" t="n"/>
      <c r="F220" s="19" t="n"/>
      <c r="G220" s="19" t="n"/>
      <c r="H220" s="15" t="n"/>
      <c r="I220">
        <f>IF(OR(A220&lt;&gt; '控制台'!B4,B220&lt;&gt; '控制台'!B5,F220=""),"",DATE(VALUE(LEFT('控制台'!B5,4)),VALUE(RIGHT('控制台'!B5,2))+1,1)-1-F220)</f>
        <v/>
      </c>
      <c r="J220">
        <f>IF(OR(A220&lt;&gt; '控制台'!B4,B220&lt;&gt; '控制台'!B5,G220=""),"",MAX(0,DATE(VALUE(LEFT('控制台'!B5,4)),VALUE(RIGHT('控制台'!B5,2))+1,1)-1-G220))</f>
        <v/>
      </c>
      <c r="K220">
        <f>IF(A220="","",IF(AND(AND('控制台'!B4&lt;&gt;"",'控制台'!B5&lt;&gt;"",'控制台'!B4='刷新信息'!B6,'控制台'!B5='刷新信息'!B8),A220='控制台'!B4,B220='控制台'!B5,OR(C220="应收",C220="应付"),COUNTIFS('往来余额'!A5:A6000,C220,'往来余额'!B5:B6000,D220)=1,E220&lt;&gt;"",COUNTIFS(A$5:A$504,A220,B$5:B$504,B220,C$5:C$504,C220,D$5:D$504,D220,E$5:E$504,E220)=1,ISNUMBER(F220),I220&gt;=0,ISNUMBER(H220),H220&gt;=0),"纳入","待核实"))</f>
        <v/>
      </c>
    </row>
    <row r="221">
      <c r="A221" s="13" t="n"/>
      <c r="B221" s="13" t="n"/>
      <c r="C221" s="13" t="n"/>
      <c r="D221" s="13" t="n"/>
      <c r="E221" s="13" t="n"/>
      <c r="F221" s="19" t="n"/>
      <c r="G221" s="19" t="n"/>
      <c r="H221" s="15" t="n"/>
      <c r="I221">
        <f>IF(OR(A221&lt;&gt; '控制台'!B4,B221&lt;&gt; '控制台'!B5,F221=""),"",DATE(VALUE(LEFT('控制台'!B5,4)),VALUE(RIGHT('控制台'!B5,2))+1,1)-1-F221)</f>
        <v/>
      </c>
      <c r="J221">
        <f>IF(OR(A221&lt;&gt; '控制台'!B4,B221&lt;&gt; '控制台'!B5,G221=""),"",MAX(0,DATE(VALUE(LEFT('控制台'!B5,4)),VALUE(RIGHT('控制台'!B5,2))+1,1)-1-G221))</f>
        <v/>
      </c>
      <c r="K221">
        <f>IF(A221="","",IF(AND(AND('控制台'!B4&lt;&gt;"",'控制台'!B5&lt;&gt;"",'控制台'!B4='刷新信息'!B6,'控制台'!B5='刷新信息'!B8),A221='控制台'!B4,B221='控制台'!B5,OR(C221="应收",C221="应付"),COUNTIFS('往来余额'!A5:A6000,C221,'往来余额'!B5:B6000,D221)=1,E221&lt;&gt;"",COUNTIFS(A$5:A$504,A221,B$5:B$504,B221,C$5:C$504,C221,D$5:D$504,D221,E$5:E$504,E221)=1,ISNUMBER(F221),I221&gt;=0,ISNUMBER(H221),H221&gt;=0),"纳入","待核实"))</f>
        <v/>
      </c>
    </row>
    <row r="222">
      <c r="A222" s="13" t="n"/>
      <c r="B222" s="13" t="n"/>
      <c r="C222" s="13" t="n"/>
      <c r="D222" s="13" t="n"/>
      <c r="E222" s="13" t="n"/>
      <c r="F222" s="19" t="n"/>
      <c r="G222" s="19" t="n"/>
      <c r="H222" s="15" t="n"/>
      <c r="I222">
        <f>IF(OR(A222&lt;&gt; '控制台'!B4,B222&lt;&gt; '控制台'!B5,F222=""),"",DATE(VALUE(LEFT('控制台'!B5,4)),VALUE(RIGHT('控制台'!B5,2))+1,1)-1-F222)</f>
        <v/>
      </c>
      <c r="J222">
        <f>IF(OR(A222&lt;&gt; '控制台'!B4,B222&lt;&gt; '控制台'!B5,G222=""),"",MAX(0,DATE(VALUE(LEFT('控制台'!B5,4)),VALUE(RIGHT('控制台'!B5,2))+1,1)-1-G222))</f>
        <v/>
      </c>
      <c r="K222">
        <f>IF(A222="","",IF(AND(AND('控制台'!B4&lt;&gt;"",'控制台'!B5&lt;&gt;"",'控制台'!B4='刷新信息'!B6,'控制台'!B5='刷新信息'!B8),A222='控制台'!B4,B222='控制台'!B5,OR(C222="应收",C222="应付"),COUNTIFS('往来余额'!A5:A6000,C222,'往来余额'!B5:B6000,D222)=1,E222&lt;&gt;"",COUNTIFS(A$5:A$504,A222,B$5:B$504,B222,C$5:C$504,C222,D$5:D$504,D222,E$5:E$504,E222)=1,ISNUMBER(F222),I222&gt;=0,ISNUMBER(H222),H222&gt;=0),"纳入","待核实"))</f>
        <v/>
      </c>
    </row>
    <row r="223">
      <c r="A223" s="13" t="n"/>
      <c r="B223" s="13" t="n"/>
      <c r="C223" s="13" t="n"/>
      <c r="D223" s="13" t="n"/>
      <c r="E223" s="13" t="n"/>
      <c r="F223" s="19" t="n"/>
      <c r="G223" s="19" t="n"/>
      <c r="H223" s="15" t="n"/>
      <c r="I223">
        <f>IF(OR(A223&lt;&gt; '控制台'!B4,B223&lt;&gt; '控制台'!B5,F223=""),"",DATE(VALUE(LEFT('控制台'!B5,4)),VALUE(RIGHT('控制台'!B5,2))+1,1)-1-F223)</f>
        <v/>
      </c>
      <c r="J223">
        <f>IF(OR(A223&lt;&gt; '控制台'!B4,B223&lt;&gt; '控制台'!B5,G223=""),"",MAX(0,DATE(VALUE(LEFT('控制台'!B5,4)),VALUE(RIGHT('控制台'!B5,2))+1,1)-1-G223))</f>
        <v/>
      </c>
      <c r="K223">
        <f>IF(A223="","",IF(AND(AND('控制台'!B4&lt;&gt;"",'控制台'!B5&lt;&gt;"",'控制台'!B4='刷新信息'!B6,'控制台'!B5='刷新信息'!B8),A223='控制台'!B4,B223='控制台'!B5,OR(C223="应收",C223="应付"),COUNTIFS('往来余额'!A5:A6000,C223,'往来余额'!B5:B6000,D223)=1,E223&lt;&gt;"",COUNTIFS(A$5:A$504,A223,B$5:B$504,B223,C$5:C$504,C223,D$5:D$504,D223,E$5:E$504,E223)=1,ISNUMBER(F223),I223&gt;=0,ISNUMBER(H223),H223&gt;=0),"纳入","待核实"))</f>
        <v/>
      </c>
    </row>
    <row r="224">
      <c r="A224" s="13" t="n"/>
      <c r="B224" s="13" t="n"/>
      <c r="C224" s="13" t="n"/>
      <c r="D224" s="13" t="n"/>
      <c r="E224" s="13" t="n"/>
      <c r="F224" s="19" t="n"/>
      <c r="G224" s="19" t="n"/>
      <c r="H224" s="15" t="n"/>
      <c r="I224">
        <f>IF(OR(A224&lt;&gt; '控制台'!B4,B224&lt;&gt; '控制台'!B5,F224=""),"",DATE(VALUE(LEFT('控制台'!B5,4)),VALUE(RIGHT('控制台'!B5,2))+1,1)-1-F224)</f>
        <v/>
      </c>
      <c r="J224">
        <f>IF(OR(A224&lt;&gt; '控制台'!B4,B224&lt;&gt; '控制台'!B5,G224=""),"",MAX(0,DATE(VALUE(LEFT('控制台'!B5,4)),VALUE(RIGHT('控制台'!B5,2))+1,1)-1-G224))</f>
        <v/>
      </c>
      <c r="K224">
        <f>IF(A224="","",IF(AND(AND('控制台'!B4&lt;&gt;"",'控制台'!B5&lt;&gt;"",'控制台'!B4='刷新信息'!B6,'控制台'!B5='刷新信息'!B8),A224='控制台'!B4,B224='控制台'!B5,OR(C224="应收",C224="应付"),COUNTIFS('往来余额'!A5:A6000,C224,'往来余额'!B5:B6000,D224)=1,E224&lt;&gt;"",COUNTIFS(A$5:A$504,A224,B$5:B$504,B224,C$5:C$504,C224,D$5:D$504,D224,E$5:E$504,E224)=1,ISNUMBER(F224),I224&gt;=0,ISNUMBER(H224),H224&gt;=0),"纳入","待核实"))</f>
        <v/>
      </c>
    </row>
    <row r="225">
      <c r="A225" s="13" t="n"/>
      <c r="B225" s="13" t="n"/>
      <c r="C225" s="13" t="n"/>
      <c r="D225" s="13" t="n"/>
      <c r="E225" s="13" t="n"/>
      <c r="F225" s="19" t="n"/>
      <c r="G225" s="19" t="n"/>
      <c r="H225" s="15" t="n"/>
      <c r="I225">
        <f>IF(OR(A225&lt;&gt; '控制台'!B4,B225&lt;&gt; '控制台'!B5,F225=""),"",DATE(VALUE(LEFT('控制台'!B5,4)),VALUE(RIGHT('控制台'!B5,2))+1,1)-1-F225)</f>
        <v/>
      </c>
      <c r="J225">
        <f>IF(OR(A225&lt;&gt; '控制台'!B4,B225&lt;&gt; '控制台'!B5,G225=""),"",MAX(0,DATE(VALUE(LEFT('控制台'!B5,4)),VALUE(RIGHT('控制台'!B5,2))+1,1)-1-G225))</f>
        <v/>
      </c>
      <c r="K225">
        <f>IF(A225="","",IF(AND(AND('控制台'!B4&lt;&gt;"",'控制台'!B5&lt;&gt;"",'控制台'!B4='刷新信息'!B6,'控制台'!B5='刷新信息'!B8),A225='控制台'!B4,B225='控制台'!B5,OR(C225="应收",C225="应付"),COUNTIFS('往来余额'!A5:A6000,C225,'往来余额'!B5:B6000,D225)=1,E225&lt;&gt;"",COUNTIFS(A$5:A$504,A225,B$5:B$504,B225,C$5:C$504,C225,D$5:D$504,D225,E$5:E$504,E225)=1,ISNUMBER(F225),I225&gt;=0,ISNUMBER(H225),H225&gt;=0),"纳入","待核实"))</f>
        <v/>
      </c>
    </row>
    <row r="226">
      <c r="A226" s="13" t="n"/>
      <c r="B226" s="13" t="n"/>
      <c r="C226" s="13" t="n"/>
      <c r="D226" s="13" t="n"/>
      <c r="E226" s="13" t="n"/>
      <c r="F226" s="19" t="n"/>
      <c r="G226" s="19" t="n"/>
      <c r="H226" s="15" t="n"/>
      <c r="I226">
        <f>IF(OR(A226&lt;&gt; '控制台'!B4,B226&lt;&gt; '控制台'!B5,F226=""),"",DATE(VALUE(LEFT('控制台'!B5,4)),VALUE(RIGHT('控制台'!B5,2))+1,1)-1-F226)</f>
        <v/>
      </c>
      <c r="J226">
        <f>IF(OR(A226&lt;&gt; '控制台'!B4,B226&lt;&gt; '控制台'!B5,G226=""),"",MAX(0,DATE(VALUE(LEFT('控制台'!B5,4)),VALUE(RIGHT('控制台'!B5,2))+1,1)-1-G226))</f>
        <v/>
      </c>
      <c r="K226">
        <f>IF(A226="","",IF(AND(AND('控制台'!B4&lt;&gt;"",'控制台'!B5&lt;&gt;"",'控制台'!B4='刷新信息'!B6,'控制台'!B5='刷新信息'!B8),A226='控制台'!B4,B226='控制台'!B5,OR(C226="应收",C226="应付"),COUNTIFS('往来余额'!A5:A6000,C226,'往来余额'!B5:B6000,D226)=1,E226&lt;&gt;"",COUNTIFS(A$5:A$504,A226,B$5:B$504,B226,C$5:C$504,C226,D$5:D$504,D226,E$5:E$504,E226)=1,ISNUMBER(F226),I226&gt;=0,ISNUMBER(H226),H226&gt;=0),"纳入","待核实"))</f>
        <v/>
      </c>
    </row>
    <row r="227">
      <c r="A227" s="13" t="n"/>
      <c r="B227" s="13" t="n"/>
      <c r="C227" s="13" t="n"/>
      <c r="D227" s="13" t="n"/>
      <c r="E227" s="13" t="n"/>
      <c r="F227" s="19" t="n"/>
      <c r="G227" s="19" t="n"/>
      <c r="H227" s="15" t="n"/>
      <c r="I227">
        <f>IF(OR(A227&lt;&gt; '控制台'!B4,B227&lt;&gt; '控制台'!B5,F227=""),"",DATE(VALUE(LEFT('控制台'!B5,4)),VALUE(RIGHT('控制台'!B5,2))+1,1)-1-F227)</f>
        <v/>
      </c>
      <c r="J227">
        <f>IF(OR(A227&lt;&gt; '控制台'!B4,B227&lt;&gt; '控制台'!B5,G227=""),"",MAX(0,DATE(VALUE(LEFT('控制台'!B5,4)),VALUE(RIGHT('控制台'!B5,2))+1,1)-1-G227))</f>
        <v/>
      </c>
      <c r="K227">
        <f>IF(A227="","",IF(AND(AND('控制台'!B4&lt;&gt;"",'控制台'!B5&lt;&gt;"",'控制台'!B4='刷新信息'!B6,'控制台'!B5='刷新信息'!B8),A227='控制台'!B4,B227='控制台'!B5,OR(C227="应收",C227="应付"),COUNTIFS('往来余额'!A5:A6000,C227,'往来余额'!B5:B6000,D227)=1,E227&lt;&gt;"",COUNTIFS(A$5:A$504,A227,B$5:B$504,B227,C$5:C$504,C227,D$5:D$504,D227,E$5:E$504,E227)=1,ISNUMBER(F227),I227&gt;=0,ISNUMBER(H227),H227&gt;=0),"纳入","待核实"))</f>
        <v/>
      </c>
    </row>
    <row r="228">
      <c r="A228" s="13" t="n"/>
      <c r="B228" s="13" t="n"/>
      <c r="C228" s="13" t="n"/>
      <c r="D228" s="13" t="n"/>
      <c r="E228" s="13" t="n"/>
      <c r="F228" s="19" t="n"/>
      <c r="G228" s="19" t="n"/>
      <c r="H228" s="15" t="n"/>
      <c r="I228">
        <f>IF(OR(A228&lt;&gt; '控制台'!B4,B228&lt;&gt; '控制台'!B5,F228=""),"",DATE(VALUE(LEFT('控制台'!B5,4)),VALUE(RIGHT('控制台'!B5,2))+1,1)-1-F228)</f>
        <v/>
      </c>
      <c r="J228">
        <f>IF(OR(A228&lt;&gt; '控制台'!B4,B228&lt;&gt; '控制台'!B5,G228=""),"",MAX(0,DATE(VALUE(LEFT('控制台'!B5,4)),VALUE(RIGHT('控制台'!B5,2))+1,1)-1-G228))</f>
        <v/>
      </c>
      <c r="K228">
        <f>IF(A228="","",IF(AND(AND('控制台'!B4&lt;&gt;"",'控制台'!B5&lt;&gt;"",'控制台'!B4='刷新信息'!B6,'控制台'!B5='刷新信息'!B8),A228='控制台'!B4,B228='控制台'!B5,OR(C228="应收",C228="应付"),COUNTIFS('往来余额'!A5:A6000,C228,'往来余额'!B5:B6000,D228)=1,E228&lt;&gt;"",COUNTIFS(A$5:A$504,A228,B$5:B$504,B228,C$5:C$504,C228,D$5:D$504,D228,E$5:E$504,E228)=1,ISNUMBER(F228),I228&gt;=0,ISNUMBER(H228),H228&gt;=0),"纳入","待核实"))</f>
        <v/>
      </c>
    </row>
    <row r="229">
      <c r="A229" s="13" t="n"/>
      <c r="B229" s="13" t="n"/>
      <c r="C229" s="13" t="n"/>
      <c r="D229" s="13" t="n"/>
      <c r="E229" s="13" t="n"/>
      <c r="F229" s="19" t="n"/>
      <c r="G229" s="19" t="n"/>
      <c r="H229" s="15" t="n"/>
      <c r="I229">
        <f>IF(OR(A229&lt;&gt; '控制台'!B4,B229&lt;&gt; '控制台'!B5,F229=""),"",DATE(VALUE(LEFT('控制台'!B5,4)),VALUE(RIGHT('控制台'!B5,2))+1,1)-1-F229)</f>
        <v/>
      </c>
      <c r="J229">
        <f>IF(OR(A229&lt;&gt; '控制台'!B4,B229&lt;&gt; '控制台'!B5,G229=""),"",MAX(0,DATE(VALUE(LEFT('控制台'!B5,4)),VALUE(RIGHT('控制台'!B5,2))+1,1)-1-G229))</f>
        <v/>
      </c>
      <c r="K229">
        <f>IF(A229="","",IF(AND(AND('控制台'!B4&lt;&gt;"",'控制台'!B5&lt;&gt;"",'控制台'!B4='刷新信息'!B6,'控制台'!B5='刷新信息'!B8),A229='控制台'!B4,B229='控制台'!B5,OR(C229="应收",C229="应付"),COUNTIFS('往来余额'!A5:A6000,C229,'往来余额'!B5:B6000,D229)=1,E229&lt;&gt;"",COUNTIFS(A$5:A$504,A229,B$5:B$504,B229,C$5:C$504,C229,D$5:D$504,D229,E$5:E$504,E229)=1,ISNUMBER(F229),I229&gt;=0,ISNUMBER(H229),H229&gt;=0),"纳入","待核实"))</f>
        <v/>
      </c>
    </row>
    <row r="230">
      <c r="A230" s="13" t="n"/>
      <c r="B230" s="13" t="n"/>
      <c r="C230" s="13" t="n"/>
      <c r="D230" s="13" t="n"/>
      <c r="E230" s="13" t="n"/>
      <c r="F230" s="19" t="n"/>
      <c r="G230" s="19" t="n"/>
      <c r="H230" s="15" t="n"/>
      <c r="I230">
        <f>IF(OR(A230&lt;&gt; '控制台'!B4,B230&lt;&gt; '控制台'!B5,F230=""),"",DATE(VALUE(LEFT('控制台'!B5,4)),VALUE(RIGHT('控制台'!B5,2))+1,1)-1-F230)</f>
        <v/>
      </c>
      <c r="J230">
        <f>IF(OR(A230&lt;&gt; '控制台'!B4,B230&lt;&gt; '控制台'!B5,G230=""),"",MAX(0,DATE(VALUE(LEFT('控制台'!B5,4)),VALUE(RIGHT('控制台'!B5,2))+1,1)-1-G230))</f>
        <v/>
      </c>
      <c r="K230">
        <f>IF(A230="","",IF(AND(AND('控制台'!B4&lt;&gt;"",'控制台'!B5&lt;&gt;"",'控制台'!B4='刷新信息'!B6,'控制台'!B5='刷新信息'!B8),A230='控制台'!B4,B230='控制台'!B5,OR(C230="应收",C230="应付"),COUNTIFS('往来余额'!A5:A6000,C230,'往来余额'!B5:B6000,D230)=1,E230&lt;&gt;"",COUNTIFS(A$5:A$504,A230,B$5:B$504,B230,C$5:C$504,C230,D$5:D$504,D230,E$5:E$504,E230)=1,ISNUMBER(F230),I230&gt;=0,ISNUMBER(H230),H230&gt;=0),"纳入","待核实"))</f>
        <v/>
      </c>
    </row>
    <row r="231">
      <c r="A231" s="13" t="n"/>
      <c r="B231" s="13" t="n"/>
      <c r="C231" s="13" t="n"/>
      <c r="D231" s="13" t="n"/>
      <c r="E231" s="13" t="n"/>
      <c r="F231" s="19" t="n"/>
      <c r="G231" s="19" t="n"/>
      <c r="H231" s="15" t="n"/>
      <c r="I231">
        <f>IF(OR(A231&lt;&gt; '控制台'!B4,B231&lt;&gt; '控制台'!B5,F231=""),"",DATE(VALUE(LEFT('控制台'!B5,4)),VALUE(RIGHT('控制台'!B5,2))+1,1)-1-F231)</f>
        <v/>
      </c>
      <c r="J231">
        <f>IF(OR(A231&lt;&gt; '控制台'!B4,B231&lt;&gt; '控制台'!B5,G231=""),"",MAX(0,DATE(VALUE(LEFT('控制台'!B5,4)),VALUE(RIGHT('控制台'!B5,2))+1,1)-1-G231))</f>
        <v/>
      </c>
      <c r="K231">
        <f>IF(A231="","",IF(AND(AND('控制台'!B4&lt;&gt;"",'控制台'!B5&lt;&gt;"",'控制台'!B4='刷新信息'!B6,'控制台'!B5='刷新信息'!B8),A231='控制台'!B4,B231='控制台'!B5,OR(C231="应收",C231="应付"),COUNTIFS('往来余额'!A5:A6000,C231,'往来余额'!B5:B6000,D231)=1,E231&lt;&gt;"",COUNTIFS(A$5:A$504,A231,B$5:B$504,B231,C$5:C$504,C231,D$5:D$504,D231,E$5:E$504,E231)=1,ISNUMBER(F231),I231&gt;=0,ISNUMBER(H231),H231&gt;=0),"纳入","待核实"))</f>
        <v/>
      </c>
    </row>
    <row r="232">
      <c r="A232" s="13" t="n"/>
      <c r="B232" s="13" t="n"/>
      <c r="C232" s="13" t="n"/>
      <c r="D232" s="13" t="n"/>
      <c r="E232" s="13" t="n"/>
      <c r="F232" s="19" t="n"/>
      <c r="G232" s="19" t="n"/>
      <c r="H232" s="15" t="n"/>
      <c r="I232">
        <f>IF(OR(A232&lt;&gt; '控制台'!B4,B232&lt;&gt; '控制台'!B5,F232=""),"",DATE(VALUE(LEFT('控制台'!B5,4)),VALUE(RIGHT('控制台'!B5,2))+1,1)-1-F232)</f>
        <v/>
      </c>
      <c r="J232">
        <f>IF(OR(A232&lt;&gt; '控制台'!B4,B232&lt;&gt; '控制台'!B5,G232=""),"",MAX(0,DATE(VALUE(LEFT('控制台'!B5,4)),VALUE(RIGHT('控制台'!B5,2))+1,1)-1-G232))</f>
        <v/>
      </c>
      <c r="K232">
        <f>IF(A232="","",IF(AND(AND('控制台'!B4&lt;&gt;"",'控制台'!B5&lt;&gt;"",'控制台'!B4='刷新信息'!B6,'控制台'!B5='刷新信息'!B8),A232='控制台'!B4,B232='控制台'!B5,OR(C232="应收",C232="应付"),COUNTIFS('往来余额'!A5:A6000,C232,'往来余额'!B5:B6000,D232)=1,E232&lt;&gt;"",COUNTIFS(A$5:A$504,A232,B$5:B$504,B232,C$5:C$504,C232,D$5:D$504,D232,E$5:E$504,E232)=1,ISNUMBER(F232),I232&gt;=0,ISNUMBER(H232),H232&gt;=0),"纳入","待核实"))</f>
        <v/>
      </c>
    </row>
    <row r="233">
      <c r="A233" s="13" t="n"/>
      <c r="B233" s="13" t="n"/>
      <c r="C233" s="13" t="n"/>
      <c r="D233" s="13" t="n"/>
      <c r="E233" s="13" t="n"/>
      <c r="F233" s="19" t="n"/>
      <c r="G233" s="19" t="n"/>
      <c r="H233" s="15" t="n"/>
      <c r="I233">
        <f>IF(OR(A233&lt;&gt; '控制台'!B4,B233&lt;&gt; '控制台'!B5,F233=""),"",DATE(VALUE(LEFT('控制台'!B5,4)),VALUE(RIGHT('控制台'!B5,2))+1,1)-1-F233)</f>
        <v/>
      </c>
      <c r="J233">
        <f>IF(OR(A233&lt;&gt; '控制台'!B4,B233&lt;&gt; '控制台'!B5,G233=""),"",MAX(0,DATE(VALUE(LEFT('控制台'!B5,4)),VALUE(RIGHT('控制台'!B5,2))+1,1)-1-G233))</f>
        <v/>
      </c>
      <c r="K233">
        <f>IF(A233="","",IF(AND(AND('控制台'!B4&lt;&gt;"",'控制台'!B5&lt;&gt;"",'控制台'!B4='刷新信息'!B6,'控制台'!B5='刷新信息'!B8),A233='控制台'!B4,B233='控制台'!B5,OR(C233="应收",C233="应付"),COUNTIFS('往来余额'!A5:A6000,C233,'往来余额'!B5:B6000,D233)=1,E233&lt;&gt;"",COUNTIFS(A$5:A$504,A233,B$5:B$504,B233,C$5:C$504,C233,D$5:D$504,D233,E$5:E$504,E233)=1,ISNUMBER(F233),I233&gt;=0,ISNUMBER(H233),H233&gt;=0),"纳入","待核实"))</f>
        <v/>
      </c>
    </row>
    <row r="234">
      <c r="A234" s="13" t="n"/>
      <c r="B234" s="13" t="n"/>
      <c r="C234" s="13" t="n"/>
      <c r="D234" s="13" t="n"/>
      <c r="E234" s="13" t="n"/>
      <c r="F234" s="19" t="n"/>
      <c r="G234" s="19" t="n"/>
      <c r="H234" s="15" t="n"/>
      <c r="I234">
        <f>IF(OR(A234&lt;&gt; '控制台'!B4,B234&lt;&gt; '控制台'!B5,F234=""),"",DATE(VALUE(LEFT('控制台'!B5,4)),VALUE(RIGHT('控制台'!B5,2))+1,1)-1-F234)</f>
        <v/>
      </c>
      <c r="J234">
        <f>IF(OR(A234&lt;&gt; '控制台'!B4,B234&lt;&gt; '控制台'!B5,G234=""),"",MAX(0,DATE(VALUE(LEFT('控制台'!B5,4)),VALUE(RIGHT('控制台'!B5,2))+1,1)-1-G234))</f>
        <v/>
      </c>
      <c r="K234">
        <f>IF(A234="","",IF(AND(AND('控制台'!B4&lt;&gt;"",'控制台'!B5&lt;&gt;"",'控制台'!B4='刷新信息'!B6,'控制台'!B5='刷新信息'!B8),A234='控制台'!B4,B234='控制台'!B5,OR(C234="应收",C234="应付"),COUNTIFS('往来余额'!A5:A6000,C234,'往来余额'!B5:B6000,D234)=1,E234&lt;&gt;"",COUNTIFS(A$5:A$504,A234,B$5:B$504,B234,C$5:C$504,C234,D$5:D$504,D234,E$5:E$504,E234)=1,ISNUMBER(F234),I234&gt;=0,ISNUMBER(H234),H234&gt;=0),"纳入","待核实"))</f>
        <v/>
      </c>
    </row>
    <row r="235">
      <c r="A235" s="13" t="n"/>
      <c r="B235" s="13" t="n"/>
      <c r="C235" s="13" t="n"/>
      <c r="D235" s="13" t="n"/>
      <c r="E235" s="13" t="n"/>
      <c r="F235" s="19" t="n"/>
      <c r="G235" s="19" t="n"/>
      <c r="H235" s="15" t="n"/>
      <c r="I235">
        <f>IF(OR(A235&lt;&gt; '控制台'!B4,B235&lt;&gt; '控制台'!B5,F235=""),"",DATE(VALUE(LEFT('控制台'!B5,4)),VALUE(RIGHT('控制台'!B5,2))+1,1)-1-F235)</f>
        <v/>
      </c>
      <c r="J235">
        <f>IF(OR(A235&lt;&gt; '控制台'!B4,B235&lt;&gt; '控制台'!B5,G235=""),"",MAX(0,DATE(VALUE(LEFT('控制台'!B5,4)),VALUE(RIGHT('控制台'!B5,2))+1,1)-1-G235))</f>
        <v/>
      </c>
      <c r="K235">
        <f>IF(A235="","",IF(AND(AND('控制台'!B4&lt;&gt;"",'控制台'!B5&lt;&gt;"",'控制台'!B4='刷新信息'!B6,'控制台'!B5='刷新信息'!B8),A235='控制台'!B4,B235='控制台'!B5,OR(C235="应收",C235="应付"),COUNTIFS('往来余额'!A5:A6000,C235,'往来余额'!B5:B6000,D235)=1,E235&lt;&gt;"",COUNTIFS(A$5:A$504,A235,B$5:B$504,B235,C$5:C$504,C235,D$5:D$504,D235,E$5:E$504,E235)=1,ISNUMBER(F235),I235&gt;=0,ISNUMBER(H235),H235&gt;=0),"纳入","待核实"))</f>
        <v/>
      </c>
    </row>
    <row r="236">
      <c r="A236" s="13" t="n"/>
      <c r="B236" s="13" t="n"/>
      <c r="C236" s="13" t="n"/>
      <c r="D236" s="13" t="n"/>
      <c r="E236" s="13" t="n"/>
      <c r="F236" s="19" t="n"/>
      <c r="G236" s="19" t="n"/>
      <c r="H236" s="15" t="n"/>
      <c r="I236">
        <f>IF(OR(A236&lt;&gt; '控制台'!B4,B236&lt;&gt; '控制台'!B5,F236=""),"",DATE(VALUE(LEFT('控制台'!B5,4)),VALUE(RIGHT('控制台'!B5,2))+1,1)-1-F236)</f>
        <v/>
      </c>
      <c r="J236">
        <f>IF(OR(A236&lt;&gt; '控制台'!B4,B236&lt;&gt; '控制台'!B5,G236=""),"",MAX(0,DATE(VALUE(LEFT('控制台'!B5,4)),VALUE(RIGHT('控制台'!B5,2))+1,1)-1-G236))</f>
        <v/>
      </c>
      <c r="K236">
        <f>IF(A236="","",IF(AND(AND('控制台'!B4&lt;&gt;"",'控制台'!B5&lt;&gt;"",'控制台'!B4='刷新信息'!B6,'控制台'!B5='刷新信息'!B8),A236='控制台'!B4,B236='控制台'!B5,OR(C236="应收",C236="应付"),COUNTIFS('往来余额'!A5:A6000,C236,'往来余额'!B5:B6000,D236)=1,E236&lt;&gt;"",COUNTIFS(A$5:A$504,A236,B$5:B$504,B236,C$5:C$504,C236,D$5:D$504,D236,E$5:E$504,E236)=1,ISNUMBER(F236),I236&gt;=0,ISNUMBER(H236),H236&gt;=0),"纳入","待核实"))</f>
        <v/>
      </c>
    </row>
    <row r="237">
      <c r="A237" s="13" t="n"/>
      <c r="B237" s="13" t="n"/>
      <c r="C237" s="13" t="n"/>
      <c r="D237" s="13" t="n"/>
      <c r="E237" s="13" t="n"/>
      <c r="F237" s="19" t="n"/>
      <c r="G237" s="19" t="n"/>
      <c r="H237" s="15" t="n"/>
      <c r="I237">
        <f>IF(OR(A237&lt;&gt; '控制台'!B4,B237&lt;&gt; '控制台'!B5,F237=""),"",DATE(VALUE(LEFT('控制台'!B5,4)),VALUE(RIGHT('控制台'!B5,2))+1,1)-1-F237)</f>
        <v/>
      </c>
      <c r="J237">
        <f>IF(OR(A237&lt;&gt; '控制台'!B4,B237&lt;&gt; '控制台'!B5,G237=""),"",MAX(0,DATE(VALUE(LEFT('控制台'!B5,4)),VALUE(RIGHT('控制台'!B5,2))+1,1)-1-G237))</f>
        <v/>
      </c>
      <c r="K237">
        <f>IF(A237="","",IF(AND(AND('控制台'!B4&lt;&gt;"",'控制台'!B5&lt;&gt;"",'控制台'!B4='刷新信息'!B6,'控制台'!B5='刷新信息'!B8),A237='控制台'!B4,B237='控制台'!B5,OR(C237="应收",C237="应付"),COUNTIFS('往来余额'!A5:A6000,C237,'往来余额'!B5:B6000,D237)=1,E237&lt;&gt;"",COUNTIFS(A$5:A$504,A237,B$5:B$504,B237,C$5:C$504,C237,D$5:D$504,D237,E$5:E$504,E237)=1,ISNUMBER(F237),I237&gt;=0,ISNUMBER(H237),H237&gt;=0),"纳入","待核实"))</f>
        <v/>
      </c>
    </row>
    <row r="238">
      <c r="A238" s="13" t="n"/>
      <c r="B238" s="13" t="n"/>
      <c r="C238" s="13" t="n"/>
      <c r="D238" s="13" t="n"/>
      <c r="E238" s="13" t="n"/>
      <c r="F238" s="19" t="n"/>
      <c r="G238" s="19" t="n"/>
      <c r="H238" s="15" t="n"/>
      <c r="I238">
        <f>IF(OR(A238&lt;&gt; '控制台'!B4,B238&lt;&gt; '控制台'!B5,F238=""),"",DATE(VALUE(LEFT('控制台'!B5,4)),VALUE(RIGHT('控制台'!B5,2))+1,1)-1-F238)</f>
        <v/>
      </c>
      <c r="J238">
        <f>IF(OR(A238&lt;&gt; '控制台'!B4,B238&lt;&gt; '控制台'!B5,G238=""),"",MAX(0,DATE(VALUE(LEFT('控制台'!B5,4)),VALUE(RIGHT('控制台'!B5,2))+1,1)-1-G238))</f>
        <v/>
      </c>
      <c r="K238">
        <f>IF(A238="","",IF(AND(AND('控制台'!B4&lt;&gt;"",'控制台'!B5&lt;&gt;"",'控制台'!B4='刷新信息'!B6,'控制台'!B5='刷新信息'!B8),A238='控制台'!B4,B238='控制台'!B5,OR(C238="应收",C238="应付"),COUNTIFS('往来余额'!A5:A6000,C238,'往来余额'!B5:B6000,D238)=1,E238&lt;&gt;"",COUNTIFS(A$5:A$504,A238,B$5:B$504,B238,C$5:C$504,C238,D$5:D$504,D238,E$5:E$504,E238)=1,ISNUMBER(F238),I238&gt;=0,ISNUMBER(H238),H238&gt;=0),"纳入","待核实"))</f>
        <v/>
      </c>
    </row>
    <row r="239">
      <c r="A239" s="13" t="n"/>
      <c r="B239" s="13" t="n"/>
      <c r="C239" s="13" t="n"/>
      <c r="D239" s="13" t="n"/>
      <c r="E239" s="13" t="n"/>
      <c r="F239" s="19" t="n"/>
      <c r="G239" s="19" t="n"/>
      <c r="H239" s="15" t="n"/>
      <c r="I239">
        <f>IF(OR(A239&lt;&gt; '控制台'!B4,B239&lt;&gt; '控制台'!B5,F239=""),"",DATE(VALUE(LEFT('控制台'!B5,4)),VALUE(RIGHT('控制台'!B5,2))+1,1)-1-F239)</f>
        <v/>
      </c>
      <c r="J239">
        <f>IF(OR(A239&lt;&gt; '控制台'!B4,B239&lt;&gt; '控制台'!B5,G239=""),"",MAX(0,DATE(VALUE(LEFT('控制台'!B5,4)),VALUE(RIGHT('控制台'!B5,2))+1,1)-1-G239))</f>
        <v/>
      </c>
      <c r="K239">
        <f>IF(A239="","",IF(AND(AND('控制台'!B4&lt;&gt;"",'控制台'!B5&lt;&gt;"",'控制台'!B4='刷新信息'!B6,'控制台'!B5='刷新信息'!B8),A239='控制台'!B4,B239='控制台'!B5,OR(C239="应收",C239="应付"),COUNTIFS('往来余额'!A5:A6000,C239,'往来余额'!B5:B6000,D239)=1,E239&lt;&gt;"",COUNTIFS(A$5:A$504,A239,B$5:B$504,B239,C$5:C$504,C239,D$5:D$504,D239,E$5:E$504,E239)=1,ISNUMBER(F239),I239&gt;=0,ISNUMBER(H239),H239&gt;=0),"纳入","待核实"))</f>
        <v/>
      </c>
    </row>
    <row r="240">
      <c r="A240" s="13" t="n"/>
      <c r="B240" s="13" t="n"/>
      <c r="C240" s="13" t="n"/>
      <c r="D240" s="13" t="n"/>
      <c r="E240" s="13" t="n"/>
      <c r="F240" s="19" t="n"/>
      <c r="G240" s="19" t="n"/>
      <c r="H240" s="15" t="n"/>
      <c r="I240">
        <f>IF(OR(A240&lt;&gt; '控制台'!B4,B240&lt;&gt; '控制台'!B5,F240=""),"",DATE(VALUE(LEFT('控制台'!B5,4)),VALUE(RIGHT('控制台'!B5,2))+1,1)-1-F240)</f>
        <v/>
      </c>
      <c r="J240">
        <f>IF(OR(A240&lt;&gt; '控制台'!B4,B240&lt;&gt; '控制台'!B5,G240=""),"",MAX(0,DATE(VALUE(LEFT('控制台'!B5,4)),VALUE(RIGHT('控制台'!B5,2))+1,1)-1-G240))</f>
        <v/>
      </c>
      <c r="K240">
        <f>IF(A240="","",IF(AND(AND('控制台'!B4&lt;&gt;"",'控制台'!B5&lt;&gt;"",'控制台'!B4='刷新信息'!B6,'控制台'!B5='刷新信息'!B8),A240='控制台'!B4,B240='控制台'!B5,OR(C240="应收",C240="应付"),COUNTIFS('往来余额'!A5:A6000,C240,'往来余额'!B5:B6000,D240)=1,E240&lt;&gt;"",COUNTIFS(A$5:A$504,A240,B$5:B$504,B240,C$5:C$504,C240,D$5:D$504,D240,E$5:E$504,E240)=1,ISNUMBER(F240),I240&gt;=0,ISNUMBER(H240),H240&gt;=0),"纳入","待核实"))</f>
        <v/>
      </c>
    </row>
    <row r="241">
      <c r="A241" s="13" t="n"/>
      <c r="B241" s="13" t="n"/>
      <c r="C241" s="13" t="n"/>
      <c r="D241" s="13" t="n"/>
      <c r="E241" s="13" t="n"/>
      <c r="F241" s="19" t="n"/>
      <c r="G241" s="19" t="n"/>
      <c r="H241" s="15" t="n"/>
      <c r="I241">
        <f>IF(OR(A241&lt;&gt; '控制台'!B4,B241&lt;&gt; '控制台'!B5,F241=""),"",DATE(VALUE(LEFT('控制台'!B5,4)),VALUE(RIGHT('控制台'!B5,2))+1,1)-1-F241)</f>
        <v/>
      </c>
      <c r="J241">
        <f>IF(OR(A241&lt;&gt; '控制台'!B4,B241&lt;&gt; '控制台'!B5,G241=""),"",MAX(0,DATE(VALUE(LEFT('控制台'!B5,4)),VALUE(RIGHT('控制台'!B5,2))+1,1)-1-G241))</f>
        <v/>
      </c>
      <c r="K241">
        <f>IF(A241="","",IF(AND(AND('控制台'!B4&lt;&gt;"",'控制台'!B5&lt;&gt;"",'控制台'!B4='刷新信息'!B6,'控制台'!B5='刷新信息'!B8),A241='控制台'!B4,B241='控制台'!B5,OR(C241="应收",C241="应付"),COUNTIFS('往来余额'!A5:A6000,C241,'往来余额'!B5:B6000,D241)=1,E241&lt;&gt;"",COUNTIFS(A$5:A$504,A241,B$5:B$504,B241,C$5:C$504,C241,D$5:D$504,D241,E$5:E$504,E241)=1,ISNUMBER(F241),I241&gt;=0,ISNUMBER(H241),H241&gt;=0),"纳入","待核实"))</f>
        <v/>
      </c>
    </row>
    <row r="242">
      <c r="A242" s="13" t="n"/>
      <c r="B242" s="13" t="n"/>
      <c r="C242" s="13" t="n"/>
      <c r="D242" s="13" t="n"/>
      <c r="E242" s="13" t="n"/>
      <c r="F242" s="19" t="n"/>
      <c r="G242" s="19" t="n"/>
      <c r="H242" s="15" t="n"/>
      <c r="I242">
        <f>IF(OR(A242&lt;&gt; '控制台'!B4,B242&lt;&gt; '控制台'!B5,F242=""),"",DATE(VALUE(LEFT('控制台'!B5,4)),VALUE(RIGHT('控制台'!B5,2))+1,1)-1-F242)</f>
        <v/>
      </c>
      <c r="J242">
        <f>IF(OR(A242&lt;&gt; '控制台'!B4,B242&lt;&gt; '控制台'!B5,G242=""),"",MAX(0,DATE(VALUE(LEFT('控制台'!B5,4)),VALUE(RIGHT('控制台'!B5,2))+1,1)-1-G242))</f>
        <v/>
      </c>
      <c r="K242">
        <f>IF(A242="","",IF(AND(AND('控制台'!B4&lt;&gt;"",'控制台'!B5&lt;&gt;"",'控制台'!B4='刷新信息'!B6,'控制台'!B5='刷新信息'!B8),A242='控制台'!B4,B242='控制台'!B5,OR(C242="应收",C242="应付"),COUNTIFS('往来余额'!A5:A6000,C242,'往来余额'!B5:B6000,D242)=1,E242&lt;&gt;"",COUNTIFS(A$5:A$504,A242,B$5:B$504,B242,C$5:C$504,C242,D$5:D$504,D242,E$5:E$504,E242)=1,ISNUMBER(F242),I242&gt;=0,ISNUMBER(H242),H242&gt;=0),"纳入","待核实"))</f>
        <v/>
      </c>
    </row>
    <row r="243">
      <c r="A243" s="13" t="n"/>
      <c r="B243" s="13" t="n"/>
      <c r="C243" s="13" t="n"/>
      <c r="D243" s="13" t="n"/>
      <c r="E243" s="13" t="n"/>
      <c r="F243" s="19" t="n"/>
      <c r="G243" s="19" t="n"/>
      <c r="H243" s="15" t="n"/>
      <c r="I243">
        <f>IF(OR(A243&lt;&gt; '控制台'!B4,B243&lt;&gt; '控制台'!B5,F243=""),"",DATE(VALUE(LEFT('控制台'!B5,4)),VALUE(RIGHT('控制台'!B5,2))+1,1)-1-F243)</f>
        <v/>
      </c>
      <c r="J243">
        <f>IF(OR(A243&lt;&gt; '控制台'!B4,B243&lt;&gt; '控制台'!B5,G243=""),"",MAX(0,DATE(VALUE(LEFT('控制台'!B5,4)),VALUE(RIGHT('控制台'!B5,2))+1,1)-1-G243))</f>
        <v/>
      </c>
      <c r="K243">
        <f>IF(A243="","",IF(AND(AND('控制台'!B4&lt;&gt;"",'控制台'!B5&lt;&gt;"",'控制台'!B4='刷新信息'!B6,'控制台'!B5='刷新信息'!B8),A243='控制台'!B4,B243='控制台'!B5,OR(C243="应收",C243="应付"),COUNTIFS('往来余额'!A5:A6000,C243,'往来余额'!B5:B6000,D243)=1,E243&lt;&gt;"",COUNTIFS(A$5:A$504,A243,B$5:B$504,B243,C$5:C$504,C243,D$5:D$504,D243,E$5:E$504,E243)=1,ISNUMBER(F243),I243&gt;=0,ISNUMBER(H243),H243&gt;=0),"纳入","待核实"))</f>
        <v/>
      </c>
    </row>
    <row r="244">
      <c r="A244" s="13" t="n"/>
      <c r="B244" s="13" t="n"/>
      <c r="C244" s="13" t="n"/>
      <c r="D244" s="13" t="n"/>
      <c r="E244" s="13" t="n"/>
      <c r="F244" s="19" t="n"/>
      <c r="G244" s="19" t="n"/>
      <c r="H244" s="15" t="n"/>
      <c r="I244">
        <f>IF(OR(A244&lt;&gt; '控制台'!B4,B244&lt;&gt; '控制台'!B5,F244=""),"",DATE(VALUE(LEFT('控制台'!B5,4)),VALUE(RIGHT('控制台'!B5,2))+1,1)-1-F244)</f>
        <v/>
      </c>
      <c r="J244">
        <f>IF(OR(A244&lt;&gt; '控制台'!B4,B244&lt;&gt; '控制台'!B5,G244=""),"",MAX(0,DATE(VALUE(LEFT('控制台'!B5,4)),VALUE(RIGHT('控制台'!B5,2))+1,1)-1-G244))</f>
        <v/>
      </c>
      <c r="K244">
        <f>IF(A244="","",IF(AND(AND('控制台'!B4&lt;&gt;"",'控制台'!B5&lt;&gt;"",'控制台'!B4='刷新信息'!B6,'控制台'!B5='刷新信息'!B8),A244='控制台'!B4,B244='控制台'!B5,OR(C244="应收",C244="应付"),COUNTIFS('往来余额'!A5:A6000,C244,'往来余额'!B5:B6000,D244)=1,E244&lt;&gt;"",COUNTIFS(A$5:A$504,A244,B$5:B$504,B244,C$5:C$504,C244,D$5:D$504,D244,E$5:E$504,E244)=1,ISNUMBER(F244),I244&gt;=0,ISNUMBER(H244),H244&gt;=0),"纳入","待核实"))</f>
        <v/>
      </c>
    </row>
    <row r="245">
      <c r="A245" s="13" t="n"/>
      <c r="B245" s="13" t="n"/>
      <c r="C245" s="13" t="n"/>
      <c r="D245" s="13" t="n"/>
      <c r="E245" s="13" t="n"/>
      <c r="F245" s="19" t="n"/>
      <c r="G245" s="19" t="n"/>
      <c r="H245" s="15" t="n"/>
      <c r="I245">
        <f>IF(OR(A245&lt;&gt; '控制台'!B4,B245&lt;&gt; '控制台'!B5,F245=""),"",DATE(VALUE(LEFT('控制台'!B5,4)),VALUE(RIGHT('控制台'!B5,2))+1,1)-1-F245)</f>
        <v/>
      </c>
      <c r="J245">
        <f>IF(OR(A245&lt;&gt; '控制台'!B4,B245&lt;&gt; '控制台'!B5,G245=""),"",MAX(0,DATE(VALUE(LEFT('控制台'!B5,4)),VALUE(RIGHT('控制台'!B5,2))+1,1)-1-G245))</f>
        <v/>
      </c>
      <c r="K245">
        <f>IF(A245="","",IF(AND(AND('控制台'!B4&lt;&gt;"",'控制台'!B5&lt;&gt;"",'控制台'!B4='刷新信息'!B6,'控制台'!B5='刷新信息'!B8),A245='控制台'!B4,B245='控制台'!B5,OR(C245="应收",C245="应付"),COUNTIFS('往来余额'!A5:A6000,C245,'往来余额'!B5:B6000,D245)=1,E245&lt;&gt;"",COUNTIFS(A$5:A$504,A245,B$5:B$504,B245,C$5:C$504,C245,D$5:D$504,D245,E$5:E$504,E245)=1,ISNUMBER(F245),I245&gt;=0,ISNUMBER(H245),H245&gt;=0),"纳入","待核实"))</f>
        <v/>
      </c>
    </row>
    <row r="246">
      <c r="A246" s="13" t="n"/>
      <c r="B246" s="13" t="n"/>
      <c r="C246" s="13" t="n"/>
      <c r="D246" s="13" t="n"/>
      <c r="E246" s="13" t="n"/>
      <c r="F246" s="19" t="n"/>
      <c r="G246" s="19" t="n"/>
      <c r="H246" s="15" t="n"/>
      <c r="I246">
        <f>IF(OR(A246&lt;&gt; '控制台'!B4,B246&lt;&gt; '控制台'!B5,F246=""),"",DATE(VALUE(LEFT('控制台'!B5,4)),VALUE(RIGHT('控制台'!B5,2))+1,1)-1-F246)</f>
        <v/>
      </c>
      <c r="J246">
        <f>IF(OR(A246&lt;&gt; '控制台'!B4,B246&lt;&gt; '控制台'!B5,G246=""),"",MAX(0,DATE(VALUE(LEFT('控制台'!B5,4)),VALUE(RIGHT('控制台'!B5,2))+1,1)-1-G246))</f>
        <v/>
      </c>
      <c r="K246">
        <f>IF(A246="","",IF(AND(AND('控制台'!B4&lt;&gt;"",'控制台'!B5&lt;&gt;"",'控制台'!B4='刷新信息'!B6,'控制台'!B5='刷新信息'!B8),A246='控制台'!B4,B246='控制台'!B5,OR(C246="应收",C246="应付"),COUNTIFS('往来余额'!A5:A6000,C246,'往来余额'!B5:B6000,D246)=1,E246&lt;&gt;"",COUNTIFS(A$5:A$504,A246,B$5:B$504,B246,C$5:C$504,C246,D$5:D$504,D246,E$5:E$504,E246)=1,ISNUMBER(F246),I246&gt;=0,ISNUMBER(H246),H246&gt;=0),"纳入","待核实"))</f>
        <v/>
      </c>
    </row>
    <row r="247">
      <c r="A247" s="13" t="n"/>
      <c r="B247" s="13" t="n"/>
      <c r="C247" s="13" t="n"/>
      <c r="D247" s="13" t="n"/>
      <c r="E247" s="13" t="n"/>
      <c r="F247" s="19" t="n"/>
      <c r="G247" s="19" t="n"/>
      <c r="H247" s="15" t="n"/>
      <c r="I247">
        <f>IF(OR(A247&lt;&gt; '控制台'!B4,B247&lt;&gt; '控制台'!B5,F247=""),"",DATE(VALUE(LEFT('控制台'!B5,4)),VALUE(RIGHT('控制台'!B5,2))+1,1)-1-F247)</f>
        <v/>
      </c>
      <c r="J247">
        <f>IF(OR(A247&lt;&gt; '控制台'!B4,B247&lt;&gt; '控制台'!B5,G247=""),"",MAX(0,DATE(VALUE(LEFT('控制台'!B5,4)),VALUE(RIGHT('控制台'!B5,2))+1,1)-1-G247))</f>
        <v/>
      </c>
      <c r="K247">
        <f>IF(A247="","",IF(AND(AND('控制台'!B4&lt;&gt;"",'控制台'!B5&lt;&gt;"",'控制台'!B4='刷新信息'!B6,'控制台'!B5='刷新信息'!B8),A247='控制台'!B4,B247='控制台'!B5,OR(C247="应收",C247="应付"),COUNTIFS('往来余额'!A5:A6000,C247,'往来余额'!B5:B6000,D247)=1,E247&lt;&gt;"",COUNTIFS(A$5:A$504,A247,B$5:B$504,B247,C$5:C$504,C247,D$5:D$504,D247,E$5:E$504,E247)=1,ISNUMBER(F247),I247&gt;=0,ISNUMBER(H247),H247&gt;=0),"纳入","待核实"))</f>
        <v/>
      </c>
    </row>
    <row r="248">
      <c r="A248" s="13" t="n"/>
      <c r="B248" s="13" t="n"/>
      <c r="C248" s="13" t="n"/>
      <c r="D248" s="13" t="n"/>
      <c r="E248" s="13" t="n"/>
      <c r="F248" s="19" t="n"/>
      <c r="G248" s="19" t="n"/>
      <c r="H248" s="15" t="n"/>
      <c r="I248">
        <f>IF(OR(A248&lt;&gt; '控制台'!B4,B248&lt;&gt; '控制台'!B5,F248=""),"",DATE(VALUE(LEFT('控制台'!B5,4)),VALUE(RIGHT('控制台'!B5,2))+1,1)-1-F248)</f>
        <v/>
      </c>
      <c r="J248">
        <f>IF(OR(A248&lt;&gt; '控制台'!B4,B248&lt;&gt; '控制台'!B5,G248=""),"",MAX(0,DATE(VALUE(LEFT('控制台'!B5,4)),VALUE(RIGHT('控制台'!B5,2))+1,1)-1-G248))</f>
        <v/>
      </c>
      <c r="K248">
        <f>IF(A248="","",IF(AND(AND('控制台'!B4&lt;&gt;"",'控制台'!B5&lt;&gt;"",'控制台'!B4='刷新信息'!B6,'控制台'!B5='刷新信息'!B8),A248='控制台'!B4,B248='控制台'!B5,OR(C248="应收",C248="应付"),COUNTIFS('往来余额'!A5:A6000,C248,'往来余额'!B5:B6000,D248)=1,E248&lt;&gt;"",COUNTIFS(A$5:A$504,A248,B$5:B$504,B248,C$5:C$504,C248,D$5:D$504,D248,E$5:E$504,E248)=1,ISNUMBER(F248),I248&gt;=0,ISNUMBER(H248),H248&gt;=0),"纳入","待核实"))</f>
        <v/>
      </c>
    </row>
    <row r="249">
      <c r="A249" s="13" t="n"/>
      <c r="B249" s="13" t="n"/>
      <c r="C249" s="13" t="n"/>
      <c r="D249" s="13" t="n"/>
      <c r="E249" s="13" t="n"/>
      <c r="F249" s="19" t="n"/>
      <c r="G249" s="19" t="n"/>
      <c r="H249" s="15" t="n"/>
      <c r="I249">
        <f>IF(OR(A249&lt;&gt; '控制台'!B4,B249&lt;&gt; '控制台'!B5,F249=""),"",DATE(VALUE(LEFT('控制台'!B5,4)),VALUE(RIGHT('控制台'!B5,2))+1,1)-1-F249)</f>
        <v/>
      </c>
      <c r="J249">
        <f>IF(OR(A249&lt;&gt; '控制台'!B4,B249&lt;&gt; '控制台'!B5,G249=""),"",MAX(0,DATE(VALUE(LEFT('控制台'!B5,4)),VALUE(RIGHT('控制台'!B5,2))+1,1)-1-G249))</f>
        <v/>
      </c>
      <c r="K249">
        <f>IF(A249="","",IF(AND(AND('控制台'!B4&lt;&gt;"",'控制台'!B5&lt;&gt;"",'控制台'!B4='刷新信息'!B6,'控制台'!B5='刷新信息'!B8),A249='控制台'!B4,B249='控制台'!B5,OR(C249="应收",C249="应付"),COUNTIFS('往来余额'!A5:A6000,C249,'往来余额'!B5:B6000,D249)=1,E249&lt;&gt;"",COUNTIFS(A$5:A$504,A249,B$5:B$504,B249,C$5:C$504,C249,D$5:D$504,D249,E$5:E$504,E249)=1,ISNUMBER(F249),I249&gt;=0,ISNUMBER(H249),H249&gt;=0),"纳入","待核实"))</f>
        <v/>
      </c>
    </row>
    <row r="250">
      <c r="A250" s="13" t="n"/>
      <c r="B250" s="13" t="n"/>
      <c r="C250" s="13" t="n"/>
      <c r="D250" s="13" t="n"/>
      <c r="E250" s="13" t="n"/>
      <c r="F250" s="19" t="n"/>
      <c r="G250" s="19" t="n"/>
      <c r="H250" s="15" t="n"/>
      <c r="I250">
        <f>IF(OR(A250&lt;&gt; '控制台'!B4,B250&lt;&gt; '控制台'!B5,F250=""),"",DATE(VALUE(LEFT('控制台'!B5,4)),VALUE(RIGHT('控制台'!B5,2))+1,1)-1-F250)</f>
        <v/>
      </c>
      <c r="J250">
        <f>IF(OR(A250&lt;&gt; '控制台'!B4,B250&lt;&gt; '控制台'!B5,G250=""),"",MAX(0,DATE(VALUE(LEFT('控制台'!B5,4)),VALUE(RIGHT('控制台'!B5,2))+1,1)-1-G250))</f>
        <v/>
      </c>
      <c r="K250">
        <f>IF(A250="","",IF(AND(AND('控制台'!B4&lt;&gt;"",'控制台'!B5&lt;&gt;"",'控制台'!B4='刷新信息'!B6,'控制台'!B5='刷新信息'!B8),A250='控制台'!B4,B250='控制台'!B5,OR(C250="应收",C250="应付"),COUNTIFS('往来余额'!A5:A6000,C250,'往来余额'!B5:B6000,D250)=1,E250&lt;&gt;"",COUNTIFS(A$5:A$504,A250,B$5:B$504,B250,C$5:C$504,C250,D$5:D$504,D250,E$5:E$504,E250)=1,ISNUMBER(F250),I250&gt;=0,ISNUMBER(H250),H250&gt;=0),"纳入","待核实"))</f>
        <v/>
      </c>
    </row>
    <row r="251">
      <c r="A251" s="13" t="n"/>
      <c r="B251" s="13" t="n"/>
      <c r="C251" s="13" t="n"/>
      <c r="D251" s="13" t="n"/>
      <c r="E251" s="13" t="n"/>
      <c r="F251" s="19" t="n"/>
      <c r="G251" s="19" t="n"/>
      <c r="H251" s="15" t="n"/>
      <c r="I251">
        <f>IF(OR(A251&lt;&gt; '控制台'!B4,B251&lt;&gt; '控制台'!B5,F251=""),"",DATE(VALUE(LEFT('控制台'!B5,4)),VALUE(RIGHT('控制台'!B5,2))+1,1)-1-F251)</f>
        <v/>
      </c>
      <c r="J251">
        <f>IF(OR(A251&lt;&gt; '控制台'!B4,B251&lt;&gt; '控制台'!B5,G251=""),"",MAX(0,DATE(VALUE(LEFT('控制台'!B5,4)),VALUE(RIGHT('控制台'!B5,2))+1,1)-1-G251))</f>
        <v/>
      </c>
      <c r="K251">
        <f>IF(A251="","",IF(AND(AND('控制台'!B4&lt;&gt;"",'控制台'!B5&lt;&gt;"",'控制台'!B4='刷新信息'!B6,'控制台'!B5='刷新信息'!B8),A251='控制台'!B4,B251='控制台'!B5,OR(C251="应收",C251="应付"),COUNTIFS('往来余额'!A5:A6000,C251,'往来余额'!B5:B6000,D251)=1,E251&lt;&gt;"",COUNTIFS(A$5:A$504,A251,B$5:B$504,B251,C$5:C$504,C251,D$5:D$504,D251,E$5:E$504,E251)=1,ISNUMBER(F251),I251&gt;=0,ISNUMBER(H251),H251&gt;=0),"纳入","待核实"))</f>
        <v/>
      </c>
    </row>
    <row r="252">
      <c r="A252" s="13" t="n"/>
      <c r="B252" s="13" t="n"/>
      <c r="C252" s="13" t="n"/>
      <c r="D252" s="13" t="n"/>
      <c r="E252" s="13" t="n"/>
      <c r="F252" s="19" t="n"/>
      <c r="G252" s="19" t="n"/>
      <c r="H252" s="15" t="n"/>
      <c r="I252">
        <f>IF(OR(A252&lt;&gt; '控制台'!B4,B252&lt;&gt; '控制台'!B5,F252=""),"",DATE(VALUE(LEFT('控制台'!B5,4)),VALUE(RIGHT('控制台'!B5,2))+1,1)-1-F252)</f>
        <v/>
      </c>
      <c r="J252">
        <f>IF(OR(A252&lt;&gt; '控制台'!B4,B252&lt;&gt; '控制台'!B5,G252=""),"",MAX(0,DATE(VALUE(LEFT('控制台'!B5,4)),VALUE(RIGHT('控制台'!B5,2))+1,1)-1-G252))</f>
        <v/>
      </c>
      <c r="K252">
        <f>IF(A252="","",IF(AND(AND('控制台'!B4&lt;&gt;"",'控制台'!B5&lt;&gt;"",'控制台'!B4='刷新信息'!B6,'控制台'!B5='刷新信息'!B8),A252='控制台'!B4,B252='控制台'!B5,OR(C252="应收",C252="应付"),COUNTIFS('往来余额'!A5:A6000,C252,'往来余额'!B5:B6000,D252)=1,E252&lt;&gt;"",COUNTIFS(A$5:A$504,A252,B$5:B$504,B252,C$5:C$504,C252,D$5:D$504,D252,E$5:E$504,E252)=1,ISNUMBER(F252),I252&gt;=0,ISNUMBER(H252),H252&gt;=0),"纳入","待核实"))</f>
        <v/>
      </c>
    </row>
    <row r="253">
      <c r="A253" s="13" t="n"/>
      <c r="B253" s="13" t="n"/>
      <c r="C253" s="13" t="n"/>
      <c r="D253" s="13" t="n"/>
      <c r="E253" s="13" t="n"/>
      <c r="F253" s="19" t="n"/>
      <c r="G253" s="19" t="n"/>
      <c r="H253" s="15" t="n"/>
      <c r="I253">
        <f>IF(OR(A253&lt;&gt; '控制台'!B4,B253&lt;&gt; '控制台'!B5,F253=""),"",DATE(VALUE(LEFT('控制台'!B5,4)),VALUE(RIGHT('控制台'!B5,2))+1,1)-1-F253)</f>
        <v/>
      </c>
      <c r="J253">
        <f>IF(OR(A253&lt;&gt; '控制台'!B4,B253&lt;&gt; '控制台'!B5,G253=""),"",MAX(0,DATE(VALUE(LEFT('控制台'!B5,4)),VALUE(RIGHT('控制台'!B5,2))+1,1)-1-G253))</f>
        <v/>
      </c>
      <c r="K253">
        <f>IF(A253="","",IF(AND(AND('控制台'!B4&lt;&gt;"",'控制台'!B5&lt;&gt;"",'控制台'!B4='刷新信息'!B6,'控制台'!B5='刷新信息'!B8),A253='控制台'!B4,B253='控制台'!B5,OR(C253="应收",C253="应付"),COUNTIFS('往来余额'!A5:A6000,C253,'往来余额'!B5:B6000,D253)=1,E253&lt;&gt;"",COUNTIFS(A$5:A$504,A253,B$5:B$504,B253,C$5:C$504,C253,D$5:D$504,D253,E$5:E$504,E253)=1,ISNUMBER(F253),I253&gt;=0,ISNUMBER(H253),H253&gt;=0),"纳入","待核实"))</f>
        <v/>
      </c>
    </row>
    <row r="254">
      <c r="A254" s="13" t="n"/>
      <c r="B254" s="13" t="n"/>
      <c r="C254" s="13" t="n"/>
      <c r="D254" s="13" t="n"/>
      <c r="E254" s="13" t="n"/>
      <c r="F254" s="19" t="n"/>
      <c r="G254" s="19" t="n"/>
      <c r="H254" s="15" t="n"/>
      <c r="I254">
        <f>IF(OR(A254&lt;&gt; '控制台'!B4,B254&lt;&gt; '控制台'!B5,F254=""),"",DATE(VALUE(LEFT('控制台'!B5,4)),VALUE(RIGHT('控制台'!B5,2))+1,1)-1-F254)</f>
        <v/>
      </c>
      <c r="J254">
        <f>IF(OR(A254&lt;&gt; '控制台'!B4,B254&lt;&gt; '控制台'!B5,G254=""),"",MAX(0,DATE(VALUE(LEFT('控制台'!B5,4)),VALUE(RIGHT('控制台'!B5,2))+1,1)-1-G254))</f>
        <v/>
      </c>
      <c r="K254">
        <f>IF(A254="","",IF(AND(AND('控制台'!B4&lt;&gt;"",'控制台'!B5&lt;&gt;"",'控制台'!B4='刷新信息'!B6,'控制台'!B5='刷新信息'!B8),A254='控制台'!B4,B254='控制台'!B5,OR(C254="应收",C254="应付"),COUNTIFS('往来余额'!A5:A6000,C254,'往来余额'!B5:B6000,D254)=1,E254&lt;&gt;"",COUNTIFS(A$5:A$504,A254,B$5:B$504,B254,C$5:C$504,C254,D$5:D$504,D254,E$5:E$504,E254)=1,ISNUMBER(F254),I254&gt;=0,ISNUMBER(H254),H254&gt;=0),"纳入","待核实"))</f>
        <v/>
      </c>
    </row>
    <row r="255">
      <c r="A255" s="13" t="n"/>
      <c r="B255" s="13" t="n"/>
      <c r="C255" s="13" t="n"/>
      <c r="D255" s="13" t="n"/>
      <c r="E255" s="13" t="n"/>
      <c r="F255" s="19" t="n"/>
      <c r="G255" s="19" t="n"/>
      <c r="H255" s="15" t="n"/>
      <c r="I255">
        <f>IF(OR(A255&lt;&gt; '控制台'!B4,B255&lt;&gt; '控制台'!B5,F255=""),"",DATE(VALUE(LEFT('控制台'!B5,4)),VALUE(RIGHT('控制台'!B5,2))+1,1)-1-F255)</f>
        <v/>
      </c>
      <c r="J255">
        <f>IF(OR(A255&lt;&gt; '控制台'!B4,B255&lt;&gt; '控制台'!B5,G255=""),"",MAX(0,DATE(VALUE(LEFT('控制台'!B5,4)),VALUE(RIGHT('控制台'!B5,2))+1,1)-1-G255))</f>
        <v/>
      </c>
      <c r="K255">
        <f>IF(A255="","",IF(AND(AND('控制台'!B4&lt;&gt;"",'控制台'!B5&lt;&gt;"",'控制台'!B4='刷新信息'!B6,'控制台'!B5='刷新信息'!B8),A255='控制台'!B4,B255='控制台'!B5,OR(C255="应收",C255="应付"),COUNTIFS('往来余额'!A5:A6000,C255,'往来余额'!B5:B6000,D255)=1,E255&lt;&gt;"",COUNTIFS(A$5:A$504,A255,B$5:B$504,B255,C$5:C$504,C255,D$5:D$504,D255,E$5:E$504,E255)=1,ISNUMBER(F255),I255&gt;=0,ISNUMBER(H255),H255&gt;=0),"纳入","待核实"))</f>
        <v/>
      </c>
    </row>
    <row r="256">
      <c r="A256" s="13" t="n"/>
      <c r="B256" s="13" t="n"/>
      <c r="C256" s="13" t="n"/>
      <c r="D256" s="13" t="n"/>
      <c r="E256" s="13" t="n"/>
      <c r="F256" s="19" t="n"/>
      <c r="G256" s="19" t="n"/>
      <c r="H256" s="15" t="n"/>
      <c r="I256">
        <f>IF(OR(A256&lt;&gt; '控制台'!B4,B256&lt;&gt; '控制台'!B5,F256=""),"",DATE(VALUE(LEFT('控制台'!B5,4)),VALUE(RIGHT('控制台'!B5,2))+1,1)-1-F256)</f>
        <v/>
      </c>
      <c r="J256">
        <f>IF(OR(A256&lt;&gt; '控制台'!B4,B256&lt;&gt; '控制台'!B5,G256=""),"",MAX(0,DATE(VALUE(LEFT('控制台'!B5,4)),VALUE(RIGHT('控制台'!B5,2))+1,1)-1-G256))</f>
        <v/>
      </c>
      <c r="K256">
        <f>IF(A256="","",IF(AND(AND('控制台'!B4&lt;&gt;"",'控制台'!B5&lt;&gt;"",'控制台'!B4='刷新信息'!B6,'控制台'!B5='刷新信息'!B8),A256='控制台'!B4,B256='控制台'!B5,OR(C256="应收",C256="应付"),COUNTIFS('往来余额'!A5:A6000,C256,'往来余额'!B5:B6000,D256)=1,E256&lt;&gt;"",COUNTIFS(A$5:A$504,A256,B$5:B$504,B256,C$5:C$504,C256,D$5:D$504,D256,E$5:E$504,E256)=1,ISNUMBER(F256),I256&gt;=0,ISNUMBER(H256),H256&gt;=0),"纳入","待核实"))</f>
        <v/>
      </c>
    </row>
    <row r="257">
      <c r="A257" s="13" t="n"/>
      <c r="B257" s="13" t="n"/>
      <c r="C257" s="13" t="n"/>
      <c r="D257" s="13" t="n"/>
      <c r="E257" s="13" t="n"/>
      <c r="F257" s="19" t="n"/>
      <c r="G257" s="19" t="n"/>
      <c r="H257" s="15" t="n"/>
      <c r="I257">
        <f>IF(OR(A257&lt;&gt; '控制台'!B4,B257&lt;&gt; '控制台'!B5,F257=""),"",DATE(VALUE(LEFT('控制台'!B5,4)),VALUE(RIGHT('控制台'!B5,2))+1,1)-1-F257)</f>
        <v/>
      </c>
      <c r="J257">
        <f>IF(OR(A257&lt;&gt; '控制台'!B4,B257&lt;&gt; '控制台'!B5,G257=""),"",MAX(0,DATE(VALUE(LEFT('控制台'!B5,4)),VALUE(RIGHT('控制台'!B5,2))+1,1)-1-G257))</f>
        <v/>
      </c>
      <c r="K257">
        <f>IF(A257="","",IF(AND(AND('控制台'!B4&lt;&gt;"",'控制台'!B5&lt;&gt;"",'控制台'!B4='刷新信息'!B6,'控制台'!B5='刷新信息'!B8),A257='控制台'!B4,B257='控制台'!B5,OR(C257="应收",C257="应付"),COUNTIFS('往来余额'!A5:A6000,C257,'往来余额'!B5:B6000,D257)=1,E257&lt;&gt;"",COUNTIFS(A$5:A$504,A257,B$5:B$504,B257,C$5:C$504,C257,D$5:D$504,D257,E$5:E$504,E257)=1,ISNUMBER(F257),I257&gt;=0,ISNUMBER(H257),H257&gt;=0),"纳入","待核实"))</f>
        <v/>
      </c>
    </row>
    <row r="258">
      <c r="A258" s="13" t="n"/>
      <c r="B258" s="13" t="n"/>
      <c r="C258" s="13" t="n"/>
      <c r="D258" s="13" t="n"/>
      <c r="E258" s="13" t="n"/>
      <c r="F258" s="19" t="n"/>
      <c r="G258" s="19" t="n"/>
      <c r="H258" s="15" t="n"/>
      <c r="I258">
        <f>IF(OR(A258&lt;&gt; '控制台'!B4,B258&lt;&gt; '控制台'!B5,F258=""),"",DATE(VALUE(LEFT('控制台'!B5,4)),VALUE(RIGHT('控制台'!B5,2))+1,1)-1-F258)</f>
        <v/>
      </c>
      <c r="J258">
        <f>IF(OR(A258&lt;&gt; '控制台'!B4,B258&lt;&gt; '控制台'!B5,G258=""),"",MAX(0,DATE(VALUE(LEFT('控制台'!B5,4)),VALUE(RIGHT('控制台'!B5,2))+1,1)-1-G258))</f>
        <v/>
      </c>
      <c r="K258">
        <f>IF(A258="","",IF(AND(AND('控制台'!B4&lt;&gt;"",'控制台'!B5&lt;&gt;"",'控制台'!B4='刷新信息'!B6,'控制台'!B5='刷新信息'!B8),A258='控制台'!B4,B258='控制台'!B5,OR(C258="应收",C258="应付"),COUNTIFS('往来余额'!A5:A6000,C258,'往来余额'!B5:B6000,D258)=1,E258&lt;&gt;"",COUNTIFS(A$5:A$504,A258,B$5:B$504,B258,C$5:C$504,C258,D$5:D$504,D258,E$5:E$504,E258)=1,ISNUMBER(F258),I258&gt;=0,ISNUMBER(H258),H258&gt;=0),"纳入","待核实"))</f>
        <v/>
      </c>
    </row>
    <row r="259">
      <c r="A259" s="13" t="n"/>
      <c r="B259" s="13" t="n"/>
      <c r="C259" s="13" t="n"/>
      <c r="D259" s="13" t="n"/>
      <c r="E259" s="13" t="n"/>
      <c r="F259" s="19" t="n"/>
      <c r="G259" s="19" t="n"/>
      <c r="H259" s="15" t="n"/>
      <c r="I259">
        <f>IF(OR(A259&lt;&gt; '控制台'!B4,B259&lt;&gt; '控制台'!B5,F259=""),"",DATE(VALUE(LEFT('控制台'!B5,4)),VALUE(RIGHT('控制台'!B5,2))+1,1)-1-F259)</f>
        <v/>
      </c>
      <c r="J259">
        <f>IF(OR(A259&lt;&gt; '控制台'!B4,B259&lt;&gt; '控制台'!B5,G259=""),"",MAX(0,DATE(VALUE(LEFT('控制台'!B5,4)),VALUE(RIGHT('控制台'!B5,2))+1,1)-1-G259))</f>
        <v/>
      </c>
      <c r="K259">
        <f>IF(A259="","",IF(AND(AND('控制台'!B4&lt;&gt;"",'控制台'!B5&lt;&gt;"",'控制台'!B4='刷新信息'!B6,'控制台'!B5='刷新信息'!B8),A259='控制台'!B4,B259='控制台'!B5,OR(C259="应收",C259="应付"),COUNTIFS('往来余额'!A5:A6000,C259,'往来余额'!B5:B6000,D259)=1,E259&lt;&gt;"",COUNTIFS(A$5:A$504,A259,B$5:B$504,B259,C$5:C$504,C259,D$5:D$504,D259,E$5:E$504,E259)=1,ISNUMBER(F259),I259&gt;=0,ISNUMBER(H259),H259&gt;=0),"纳入","待核实"))</f>
        <v/>
      </c>
    </row>
    <row r="260">
      <c r="A260" s="13" t="n"/>
      <c r="B260" s="13" t="n"/>
      <c r="C260" s="13" t="n"/>
      <c r="D260" s="13" t="n"/>
      <c r="E260" s="13" t="n"/>
      <c r="F260" s="19" t="n"/>
      <c r="G260" s="19" t="n"/>
      <c r="H260" s="15" t="n"/>
      <c r="I260">
        <f>IF(OR(A260&lt;&gt; '控制台'!B4,B260&lt;&gt; '控制台'!B5,F260=""),"",DATE(VALUE(LEFT('控制台'!B5,4)),VALUE(RIGHT('控制台'!B5,2))+1,1)-1-F260)</f>
        <v/>
      </c>
      <c r="J260">
        <f>IF(OR(A260&lt;&gt; '控制台'!B4,B260&lt;&gt; '控制台'!B5,G260=""),"",MAX(0,DATE(VALUE(LEFT('控制台'!B5,4)),VALUE(RIGHT('控制台'!B5,2))+1,1)-1-G260))</f>
        <v/>
      </c>
      <c r="K260">
        <f>IF(A260="","",IF(AND(AND('控制台'!B4&lt;&gt;"",'控制台'!B5&lt;&gt;"",'控制台'!B4='刷新信息'!B6,'控制台'!B5='刷新信息'!B8),A260='控制台'!B4,B260='控制台'!B5,OR(C260="应收",C260="应付"),COUNTIFS('往来余额'!A5:A6000,C260,'往来余额'!B5:B6000,D260)=1,E260&lt;&gt;"",COUNTIFS(A$5:A$504,A260,B$5:B$504,B260,C$5:C$504,C260,D$5:D$504,D260,E$5:E$504,E260)=1,ISNUMBER(F260),I260&gt;=0,ISNUMBER(H260),H260&gt;=0),"纳入","待核实"))</f>
        <v/>
      </c>
    </row>
    <row r="261">
      <c r="A261" s="13" t="n"/>
      <c r="B261" s="13" t="n"/>
      <c r="C261" s="13" t="n"/>
      <c r="D261" s="13" t="n"/>
      <c r="E261" s="13" t="n"/>
      <c r="F261" s="19" t="n"/>
      <c r="G261" s="19" t="n"/>
      <c r="H261" s="15" t="n"/>
      <c r="I261">
        <f>IF(OR(A261&lt;&gt; '控制台'!B4,B261&lt;&gt; '控制台'!B5,F261=""),"",DATE(VALUE(LEFT('控制台'!B5,4)),VALUE(RIGHT('控制台'!B5,2))+1,1)-1-F261)</f>
        <v/>
      </c>
      <c r="J261">
        <f>IF(OR(A261&lt;&gt; '控制台'!B4,B261&lt;&gt; '控制台'!B5,G261=""),"",MAX(0,DATE(VALUE(LEFT('控制台'!B5,4)),VALUE(RIGHT('控制台'!B5,2))+1,1)-1-G261))</f>
        <v/>
      </c>
      <c r="K261">
        <f>IF(A261="","",IF(AND(AND('控制台'!B4&lt;&gt;"",'控制台'!B5&lt;&gt;"",'控制台'!B4='刷新信息'!B6,'控制台'!B5='刷新信息'!B8),A261='控制台'!B4,B261='控制台'!B5,OR(C261="应收",C261="应付"),COUNTIFS('往来余额'!A5:A6000,C261,'往来余额'!B5:B6000,D261)=1,E261&lt;&gt;"",COUNTIFS(A$5:A$504,A261,B$5:B$504,B261,C$5:C$504,C261,D$5:D$504,D261,E$5:E$504,E261)=1,ISNUMBER(F261),I261&gt;=0,ISNUMBER(H261),H261&gt;=0),"纳入","待核实"))</f>
        <v/>
      </c>
    </row>
    <row r="262">
      <c r="A262" s="13" t="n"/>
      <c r="B262" s="13" t="n"/>
      <c r="C262" s="13" t="n"/>
      <c r="D262" s="13" t="n"/>
      <c r="E262" s="13" t="n"/>
      <c r="F262" s="19" t="n"/>
      <c r="G262" s="19" t="n"/>
      <c r="H262" s="15" t="n"/>
      <c r="I262">
        <f>IF(OR(A262&lt;&gt; '控制台'!B4,B262&lt;&gt; '控制台'!B5,F262=""),"",DATE(VALUE(LEFT('控制台'!B5,4)),VALUE(RIGHT('控制台'!B5,2))+1,1)-1-F262)</f>
        <v/>
      </c>
      <c r="J262">
        <f>IF(OR(A262&lt;&gt; '控制台'!B4,B262&lt;&gt; '控制台'!B5,G262=""),"",MAX(0,DATE(VALUE(LEFT('控制台'!B5,4)),VALUE(RIGHT('控制台'!B5,2))+1,1)-1-G262))</f>
        <v/>
      </c>
      <c r="K262">
        <f>IF(A262="","",IF(AND(AND('控制台'!B4&lt;&gt;"",'控制台'!B5&lt;&gt;"",'控制台'!B4='刷新信息'!B6,'控制台'!B5='刷新信息'!B8),A262='控制台'!B4,B262='控制台'!B5,OR(C262="应收",C262="应付"),COUNTIFS('往来余额'!A5:A6000,C262,'往来余额'!B5:B6000,D262)=1,E262&lt;&gt;"",COUNTIFS(A$5:A$504,A262,B$5:B$504,B262,C$5:C$504,C262,D$5:D$504,D262,E$5:E$504,E262)=1,ISNUMBER(F262),I262&gt;=0,ISNUMBER(H262),H262&gt;=0),"纳入","待核实"))</f>
        <v/>
      </c>
    </row>
    <row r="263">
      <c r="A263" s="13" t="n"/>
      <c r="B263" s="13" t="n"/>
      <c r="C263" s="13" t="n"/>
      <c r="D263" s="13" t="n"/>
      <c r="E263" s="13" t="n"/>
      <c r="F263" s="19" t="n"/>
      <c r="G263" s="19" t="n"/>
      <c r="H263" s="15" t="n"/>
      <c r="I263">
        <f>IF(OR(A263&lt;&gt; '控制台'!B4,B263&lt;&gt; '控制台'!B5,F263=""),"",DATE(VALUE(LEFT('控制台'!B5,4)),VALUE(RIGHT('控制台'!B5,2))+1,1)-1-F263)</f>
        <v/>
      </c>
      <c r="J263">
        <f>IF(OR(A263&lt;&gt; '控制台'!B4,B263&lt;&gt; '控制台'!B5,G263=""),"",MAX(0,DATE(VALUE(LEFT('控制台'!B5,4)),VALUE(RIGHT('控制台'!B5,2))+1,1)-1-G263))</f>
        <v/>
      </c>
      <c r="K263">
        <f>IF(A263="","",IF(AND(AND('控制台'!B4&lt;&gt;"",'控制台'!B5&lt;&gt;"",'控制台'!B4='刷新信息'!B6,'控制台'!B5='刷新信息'!B8),A263='控制台'!B4,B263='控制台'!B5,OR(C263="应收",C263="应付"),COUNTIFS('往来余额'!A5:A6000,C263,'往来余额'!B5:B6000,D263)=1,E263&lt;&gt;"",COUNTIFS(A$5:A$504,A263,B$5:B$504,B263,C$5:C$504,C263,D$5:D$504,D263,E$5:E$504,E263)=1,ISNUMBER(F263),I263&gt;=0,ISNUMBER(H263),H263&gt;=0),"纳入","待核实"))</f>
        <v/>
      </c>
    </row>
    <row r="264">
      <c r="A264" s="13" t="n"/>
      <c r="B264" s="13" t="n"/>
      <c r="C264" s="13" t="n"/>
      <c r="D264" s="13" t="n"/>
      <c r="E264" s="13" t="n"/>
      <c r="F264" s="19" t="n"/>
      <c r="G264" s="19" t="n"/>
      <c r="H264" s="15" t="n"/>
      <c r="I264">
        <f>IF(OR(A264&lt;&gt; '控制台'!B4,B264&lt;&gt; '控制台'!B5,F264=""),"",DATE(VALUE(LEFT('控制台'!B5,4)),VALUE(RIGHT('控制台'!B5,2))+1,1)-1-F264)</f>
        <v/>
      </c>
      <c r="J264">
        <f>IF(OR(A264&lt;&gt; '控制台'!B4,B264&lt;&gt; '控制台'!B5,G264=""),"",MAX(0,DATE(VALUE(LEFT('控制台'!B5,4)),VALUE(RIGHT('控制台'!B5,2))+1,1)-1-G264))</f>
        <v/>
      </c>
      <c r="K264">
        <f>IF(A264="","",IF(AND(AND('控制台'!B4&lt;&gt;"",'控制台'!B5&lt;&gt;"",'控制台'!B4='刷新信息'!B6,'控制台'!B5='刷新信息'!B8),A264='控制台'!B4,B264='控制台'!B5,OR(C264="应收",C264="应付"),COUNTIFS('往来余额'!A5:A6000,C264,'往来余额'!B5:B6000,D264)=1,E264&lt;&gt;"",COUNTIFS(A$5:A$504,A264,B$5:B$504,B264,C$5:C$504,C264,D$5:D$504,D264,E$5:E$504,E264)=1,ISNUMBER(F264),I264&gt;=0,ISNUMBER(H264),H264&gt;=0),"纳入","待核实"))</f>
        <v/>
      </c>
    </row>
    <row r="265">
      <c r="A265" s="13" t="n"/>
      <c r="B265" s="13" t="n"/>
      <c r="C265" s="13" t="n"/>
      <c r="D265" s="13" t="n"/>
      <c r="E265" s="13" t="n"/>
      <c r="F265" s="19" t="n"/>
      <c r="G265" s="19" t="n"/>
      <c r="H265" s="15" t="n"/>
      <c r="I265">
        <f>IF(OR(A265&lt;&gt; '控制台'!B4,B265&lt;&gt; '控制台'!B5,F265=""),"",DATE(VALUE(LEFT('控制台'!B5,4)),VALUE(RIGHT('控制台'!B5,2))+1,1)-1-F265)</f>
        <v/>
      </c>
      <c r="J265">
        <f>IF(OR(A265&lt;&gt; '控制台'!B4,B265&lt;&gt; '控制台'!B5,G265=""),"",MAX(0,DATE(VALUE(LEFT('控制台'!B5,4)),VALUE(RIGHT('控制台'!B5,2))+1,1)-1-G265))</f>
        <v/>
      </c>
      <c r="K265">
        <f>IF(A265="","",IF(AND(AND('控制台'!B4&lt;&gt;"",'控制台'!B5&lt;&gt;"",'控制台'!B4='刷新信息'!B6,'控制台'!B5='刷新信息'!B8),A265='控制台'!B4,B265='控制台'!B5,OR(C265="应收",C265="应付"),COUNTIFS('往来余额'!A5:A6000,C265,'往来余额'!B5:B6000,D265)=1,E265&lt;&gt;"",COUNTIFS(A$5:A$504,A265,B$5:B$504,B265,C$5:C$504,C265,D$5:D$504,D265,E$5:E$504,E265)=1,ISNUMBER(F265),I265&gt;=0,ISNUMBER(H265),H265&gt;=0),"纳入","待核实"))</f>
        <v/>
      </c>
    </row>
    <row r="266">
      <c r="A266" s="13" t="n"/>
      <c r="B266" s="13" t="n"/>
      <c r="C266" s="13" t="n"/>
      <c r="D266" s="13" t="n"/>
      <c r="E266" s="13" t="n"/>
      <c r="F266" s="19" t="n"/>
      <c r="G266" s="19" t="n"/>
      <c r="H266" s="15" t="n"/>
      <c r="I266">
        <f>IF(OR(A266&lt;&gt; '控制台'!B4,B266&lt;&gt; '控制台'!B5,F266=""),"",DATE(VALUE(LEFT('控制台'!B5,4)),VALUE(RIGHT('控制台'!B5,2))+1,1)-1-F266)</f>
        <v/>
      </c>
      <c r="J266">
        <f>IF(OR(A266&lt;&gt; '控制台'!B4,B266&lt;&gt; '控制台'!B5,G266=""),"",MAX(0,DATE(VALUE(LEFT('控制台'!B5,4)),VALUE(RIGHT('控制台'!B5,2))+1,1)-1-G266))</f>
        <v/>
      </c>
      <c r="K266">
        <f>IF(A266="","",IF(AND(AND('控制台'!B4&lt;&gt;"",'控制台'!B5&lt;&gt;"",'控制台'!B4='刷新信息'!B6,'控制台'!B5='刷新信息'!B8),A266='控制台'!B4,B266='控制台'!B5,OR(C266="应收",C266="应付"),COUNTIFS('往来余额'!A5:A6000,C266,'往来余额'!B5:B6000,D266)=1,E266&lt;&gt;"",COUNTIFS(A$5:A$504,A266,B$5:B$504,B266,C$5:C$504,C266,D$5:D$504,D266,E$5:E$504,E266)=1,ISNUMBER(F266),I266&gt;=0,ISNUMBER(H266),H266&gt;=0),"纳入","待核实"))</f>
        <v/>
      </c>
    </row>
    <row r="267">
      <c r="A267" s="13" t="n"/>
      <c r="B267" s="13" t="n"/>
      <c r="C267" s="13" t="n"/>
      <c r="D267" s="13" t="n"/>
      <c r="E267" s="13" t="n"/>
      <c r="F267" s="19" t="n"/>
      <c r="G267" s="19" t="n"/>
      <c r="H267" s="15" t="n"/>
      <c r="I267">
        <f>IF(OR(A267&lt;&gt; '控制台'!B4,B267&lt;&gt; '控制台'!B5,F267=""),"",DATE(VALUE(LEFT('控制台'!B5,4)),VALUE(RIGHT('控制台'!B5,2))+1,1)-1-F267)</f>
        <v/>
      </c>
      <c r="J267">
        <f>IF(OR(A267&lt;&gt; '控制台'!B4,B267&lt;&gt; '控制台'!B5,G267=""),"",MAX(0,DATE(VALUE(LEFT('控制台'!B5,4)),VALUE(RIGHT('控制台'!B5,2))+1,1)-1-G267))</f>
        <v/>
      </c>
      <c r="K267">
        <f>IF(A267="","",IF(AND(AND('控制台'!B4&lt;&gt;"",'控制台'!B5&lt;&gt;"",'控制台'!B4='刷新信息'!B6,'控制台'!B5='刷新信息'!B8),A267='控制台'!B4,B267='控制台'!B5,OR(C267="应收",C267="应付"),COUNTIFS('往来余额'!A5:A6000,C267,'往来余额'!B5:B6000,D267)=1,E267&lt;&gt;"",COUNTIFS(A$5:A$504,A267,B$5:B$504,B267,C$5:C$504,C267,D$5:D$504,D267,E$5:E$504,E267)=1,ISNUMBER(F267),I267&gt;=0,ISNUMBER(H267),H267&gt;=0),"纳入","待核实"))</f>
        <v/>
      </c>
    </row>
    <row r="268">
      <c r="A268" s="13" t="n"/>
      <c r="B268" s="13" t="n"/>
      <c r="C268" s="13" t="n"/>
      <c r="D268" s="13" t="n"/>
      <c r="E268" s="13" t="n"/>
      <c r="F268" s="19" t="n"/>
      <c r="G268" s="19" t="n"/>
      <c r="H268" s="15" t="n"/>
      <c r="I268">
        <f>IF(OR(A268&lt;&gt; '控制台'!B4,B268&lt;&gt; '控制台'!B5,F268=""),"",DATE(VALUE(LEFT('控制台'!B5,4)),VALUE(RIGHT('控制台'!B5,2))+1,1)-1-F268)</f>
        <v/>
      </c>
      <c r="J268">
        <f>IF(OR(A268&lt;&gt; '控制台'!B4,B268&lt;&gt; '控制台'!B5,G268=""),"",MAX(0,DATE(VALUE(LEFT('控制台'!B5,4)),VALUE(RIGHT('控制台'!B5,2))+1,1)-1-G268))</f>
        <v/>
      </c>
      <c r="K268">
        <f>IF(A268="","",IF(AND(AND('控制台'!B4&lt;&gt;"",'控制台'!B5&lt;&gt;"",'控制台'!B4='刷新信息'!B6,'控制台'!B5='刷新信息'!B8),A268='控制台'!B4,B268='控制台'!B5,OR(C268="应收",C268="应付"),COUNTIFS('往来余额'!A5:A6000,C268,'往来余额'!B5:B6000,D268)=1,E268&lt;&gt;"",COUNTIFS(A$5:A$504,A268,B$5:B$504,B268,C$5:C$504,C268,D$5:D$504,D268,E$5:E$504,E268)=1,ISNUMBER(F268),I268&gt;=0,ISNUMBER(H268),H268&gt;=0),"纳入","待核实"))</f>
        <v/>
      </c>
    </row>
    <row r="269">
      <c r="A269" s="13" t="n"/>
      <c r="B269" s="13" t="n"/>
      <c r="C269" s="13" t="n"/>
      <c r="D269" s="13" t="n"/>
      <c r="E269" s="13" t="n"/>
      <c r="F269" s="19" t="n"/>
      <c r="G269" s="19" t="n"/>
      <c r="H269" s="15" t="n"/>
      <c r="I269">
        <f>IF(OR(A269&lt;&gt; '控制台'!B4,B269&lt;&gt; '控制台'!B5,F269=""),"",DATE(VALUE(LEFT('控制台'!B5,4)),VALUE(RIGHT('控制台'!B5,2))+1,1)-1-F269)</f>
        <v/>
      </c>
      <c r="J269">
        <f>IF(OR(A269&lt;&gt; '控制台'!B4,B269&lt;&gt; '控制台'!B5,G269=""),"",MAX(0,DATE(VALUE(LEFT('控制台'!B5,4)),VALUE(RIGHT('控制台'!B5,2))+1,1)-1-G269))</f>
        <v/>
      </c>
      <c r="K269">
        <f>IF(A269="","",IF(AND(AND('控制台'!B4&lt;&gt;"",'控制台'!B5&lt;&gt;"",'控制台'!B4='刷新信息'!B6,'控制台'!B5='刷新信息'!B8),A269='控制台'!B4,B269='控制台'!B5,OR(C269="应收",C269="应付"),COUNTIFS('往来余额'!A5:A6000,C269,'往来余额'!B5:B6000,D269)=1,E269&lt;&gt;"",COUNTIFS(A$5:A$504,A269,B$5:B$504,B269,C$5:C$504,C269,D$5:D$504,D269,E$5:E$504,E269)=1,ISNUMBER(F269),I269&gt;=0,ISNUMBER(H269),H269&gt;=0),"纳入","待核实"))</f>
        <v/>
      </c>
    </row>
    <row r="270">
      <c r="A270" s="13" t="n"/>
      <c r="B270" s="13" t="n"/>
      <c r="C270" s="13" t="n"/>
      <c r="D270" s="13" t="n"/>
      <c r="E270" s="13" t="n"/>
      <c r="F270" s="19" t="n"/>
      <c r="G270" s="19" t="n"/>
      <c r="H270" s="15" t="n"/>
      <c r="I270">
        <f>IF(OR(A270&lt;&gt; '控制台'!B4,B270&lt;&gt; '控制台'!B5,F270=""),"",DATE(VALUE(LEFT('控制台'!B5,4)),VALUE(RIGHT('控制台'!B5,2))+1,1)-1-F270)</f>
        <v/>
      </c>
      <c r="J270">
        <f>IF(OR(A270&lt;&gt; '控制台'!B4,B270&lt;&gt; '控制台'!B5,G270=""),"",MAX(0,DATE(VALUE(LEFT('控制台'!B5,4)),VALUE(RIGHT('控制台'!B5,2))+1,1)-1-G270))</f>
        <v/>
      </c>
      <c r="K270">
        <f>IF(A270="","",IF(AND(AND('控制台'!B4&lt;&gt;"",'控制台'!B5&lt;&gt;"",'控制台'!B4='刷新信息'!B6,'控制台'!B5='刷新信息'!B8),A270='控制台'!B4,B270='控制台'!B5,OR(C270="应收",C270="应付"),COUNTIFS('往来余额'!A5:A6000,C270,'往来余额'!B5:B6000,D270)=1,E270&lt;&gt;"",COUNTIFS(A$5:A$504,A270,B$5:B$504,B270,C$5:C$504,C270,D$5:D$504,D270,E$5:E$504,E270)=1,ISNUMBER(F270),I270&gt;=0,ISNUMBER(H270),H270&gt;=0),"纳入","待核实"))</f>
        <v/>
      </c>
    </row>
    <row r="271">
      <c r="A271" s="13" t="n"/>
      <c r="B271" s="13" t="n"/>
      <c r="C271" s="13" t="n"/>
      <c r="D271" s="13" t="n"/>
      <c r="E271" s="13" t="n"/>
      <c r="F271" s="19" t="n"/>
      <c r="G271" s="19" t="n"/>
      <c r="H271" s="15" t="n"/>
      <c r="I271">
        <f>IF(OR(A271&lt;&gt; '控制台'!B4,B271&lt;&gt; '控制台'!B5,F271=""),"",DATE(VALUE(LEFT('控制台'!B5,4)),VALUE(RIGHT('控制台'!B5,2))+1,1)-1-F271)</f>
        <v/>
      </c>
      <c r="J271">
        <f>IF(OR(A271&lt;&gt; '控制台'!B4,B271&lt;&gt; '控制台'!B5,G271=""),"",MAX(0,DATE(VALUE(LEFT('控制台'!B5,4)),VALUE(RIGHT('控制台'!B5,2))+1,1)-1-G271))</f>
        <v/>
      </c>
      <c r="K271">
        <f>IF(A271="","",IF(AND(AND('控制台'!B4&lt;&gt;"",'控制台'!B5&lt;&gt;"",'控制台'!B4='刷新信息'!B6,'控制台'!B5='刷新信息'!B8),A271='控制台'!B4,B271='控制台'!B5,OR(C271="应收",C271="应付"),COUNTIFS('往来余额'!A5:A6000,C271,'往来余额'!B5:B6000,D271)=1,E271&lt;&gt;"",COUNTIFS(A$5:A$504,A271,B$5:B$504,B271,C$5:C$504,C271,D$5:D$504,D271,E$5:E$504,E271)=1,ISNUMBER(F271),I271&gt;=0,ISNUMBER(H271),H271&gt;=0),"纳入","待核实"))</f>
        <v/>
      </c>
    </row>
    <row r="272">
      <c r="A272" s="13" t="n"/>
      <c r="B272" s="13" t="n"/>
      <c r="C272" s="13" t="n"/>
      <c r="D272" s="13" t="n"/>
      <c r="E272" s="13" t="n"/>
      <c r="F272" s="19" t="n"/>
      <c r="G272" s="19" t="n"/>
      <c r="H272" s="15" t="n"/>
      <c r="I272">
        <f>IF(OR(A272&lt;&gt; '控制台'!B4,B272&lt;&gt; '控制台'!B5,F272=""),"",DATE(VALUE(LEFT('控制台'!B5,4)),VALUE(RIGHT('控制台'!B5,2))+1,1)-1-F272)</f>
        <v/>
      </c>
      <c r="J272">
        <f>IF(OR(A272&lt;&gt; '控制台'!B4,B272&lt;&gt; '控制台'!B5,G272=""),"",MAX(0,DATE(VALUE(LEFT('控制台'!B5,4)),VALUE(RIGHT('控制台'!B5,2))+1,1)-1-G272))</f>
        <v/>
      </c>
      <c r="K272">
        <f>IF(A272="","",IF(AND(AND('控制台'!B4&lt;&gt;"",'控制台'!B5&lt;&gt;"",'控制台'!B4='刷新信息'!B6,'控制台'!B5='刷新信息'!B8),A272='控制台'!B4,B272='控制台'!B5,OR(C272="应收",C272="应付"),COUNTIFS('往来余额'!A5:A6000,C272,'往来余额'!B5:B6000,D272)=1,E272&lt;&gt;"",COUNTIFS(A$5:A$504,A272,B$5:B$504,B272,C$5:C$504,C272,D$5:D$504,D272,E$5:E$504,E272)=1,ISNUMBER(F272),I272&gt;=0,ISNUMBER(H272),H272&gt;=0),"纳入","待核实"))</f>
        <v/>
      </c>
    </row>
    <row r="273">
      <c r="A273" s="13" t="n"/>
      <c r="B273" s="13" t="n"/>
      <c r="C273" s="13" t="n"/>
      <c r="D273" s="13" t="n"/>
      <c r="E273" s="13" t="n"/>
      <c r="F273" s="19" t="n"/>
      <c r="G273" s="19" t="n"/>
      <c r="H273" s="15" t="n"/>
      <c r="I273">
        <f>IF(OR(A273&lt;&gt; '控制台'!B4,B273&lt;&gt; '控制台'!B5,F273=""),"",DATE(VALUE(LEFT('控制台'!B5,4)),VALUE(RIGHT('控制台'!B5,2))+1,1)-1-F273)</f>
        <v/>
      </c>
      <c r="J273">
        <f>IF(OR(A273&lt;&gt; '控制台'!B4,B273&lt;&gt; '控制台'!B5,G273=""),"",MAX(0,DATE(VALUE(LEFT('控制台'!B5,4)),VALUE(RIGHT('控制台'!B5,2))+1,1)-1-G273))</f>
        <v/>
      </c>
      <c r="K273">
        <f>IF(A273="","",IF(AND(AND('控制台'!B4&lt;&gt;"",'控制台'!B5&lt;&gt;"",'控制台'!B4='刷新信息'!B6,'控制台'!B5='刷新信息'!B8),A273='控制台'!B4,B273='控制台'!B5,OR(C273="应收",C273="应付"),COUNTIFS('往来余额'!A5:A6000,C273,'往来余额'!B5:B6000,D273)=1,E273&lt;&gt;"",COUNTIFS(A$5:A$504,A273,B$5:B$504,B273,C$5:C$504,C273,D$5:D$504,D273,E$5:E$504,E273)=1,ISNUMBER(F273),I273&gt;=0,ISNUMBER(H273),H273&gt;=0),"纳入","待核实"))</f>
        <v/>
      </c>
    </row>
    <row r="274">
      <c r="A274" s="13" t="n"/>
      <c r="B274" s="13" t="n"/>
      <c r="C274" s="13" t="n"/>
      <c r="D274" s="13" t="n"/>
      <c r="E274" s="13" t="n"/>
      <c r="F274" s="19" t="n"/>
      <c r="G274" s="19" t="n"/>
      <c r="H274" s="15" t="n"/>
      <c r="I274">
        <f>IF(OR(A274&lt;&gt; '控制台'!B4,B274&lt;&gt; '控制台'!B5,F274=""),"",DATE(VALUE(LEFT('控制台'!B5,4)),VALUE(RIGHT('控制台'!B5,2))+1,1)-1-F274)</f>
        <v/>
      </c>
      <c r="J274">
        <f>IF(OR(A274&lt;&gt; '控制台'!B4,B274&lt;&gt; '控制台'!B5,G274=""),"",MAX(0,DATE(VALUE(LEFT('控制台'!B5,4)),VALUE(RIGHT('控制台'!B5,2))+1,1)-1-G274))</f>
        <v/>
      </c>
      <c r="K274">
        <f>IF(A274="","",IF(AND(AND('控制台'!B4&lt;&gt;"",'控制台'!B5&lt;&gt;"",'控制台'!B4='刷新信息'!B6,'控制台'!B5='刷新信息'!B8),A274='控制台'!B4,B274='控制台'!B5,OR(C274="应收",C274="应付"),COUNTIFS('往来余额'!A5:A6000,C274,'往来余额'!B5:B6000,D274)=1,E274&lt;&gt;"",COUNTIFS(A$5:A$504,A274,B$5:B$504,B274,C$5:C$504,C274,D$5:D$504,D274,E$5:E$504,E274)=1,ISNUMBER(F274),I274&gt;=0,ISNUMBER(H274),H274&gt;=0),"纳入","待核实"))</f>
        <v/>
      </c>
    </row>
    <row r="275">
      <c r="A275" s="13" t="n"/>
      <c r="B275" s="13" t="n"/>
      <c r="C275" s="13" t="n"/>
      <c r="D275" s="13" t="n"/>
      <c r="E275" s="13" t="n"/>
      <c r="F275" s="19" t="n"/>
      <c r="G275" s="19" t="n"/>
      <c r="H275" s="15" t="n"/>
      <c r="I275">
        <f>IF(OR(A275&lt;&gt; '控制台'!B4,B275&lt;&gt; '控制台'!B5,F275=""),"",DATE(VALUE(LEFT('控制台'!B5,4)),VALUE(RIGHT('控制台'!B5,2))+1,1)-1-F275)</f>
        <v/>
      </c>
      <c r="J275">
        <f>IF(OR(A275&lt;&gt; '控制台'!B4,B275&lt;&gt; '控制台'!B5,G275=""),"",MAX(0,DATE(VALUE(LEFT('控制台'!B5,4)),VALUE(RIGHT('控制台'!B5,2))+1,1)-1-G275))</f>
        <v/>
      </c>
      <c r="K275">
        <f>IF(A275="","",IF(AND(AND('控制台'!B4&lt;&gt;"",'控制台'!B5&lt;&gt;"",'控制台'!B4='刷新信息'!B6,'控制台'!B5='刷新信息'!B8),A275='控制台'!B4,B275='控制台'!B5,OR(C275="应收",C275="应付"),COUNTIFS('往来余额'!A5:A6000,C275,'往来余额'!B5:B6000,D275)=1,E275&lt;&gt;"",COUNTIFS(A$5:A$504,A275,B$5:B$504,B275,C$5:C$504,C275,D$5:D$504,D275,E$5:E$504,E275)=1,ISNUMBER(F275),I275&gt;=0,ISNUMBER(H275),H275&gt;=0),"纳入","待核实"))</f>
        <v/>
      </c>
    </row>
    <row r="276">
      <c r="A276" s="13" t="n"/>
      <c r="B276" s="13" t="n"/>
      <c r="C276" s="13" t="n"/>
      <c r="D276" s="13" t="n"/>
      <c r="E276" s="13" t="n"/>
      <c r="F276" s="19" t="n"/>
      <c r="G276" s="19" t="n"/>
      <c r="H276" s="15" t="n"/>
      <c r="I276">
        <f>IF(OR(A276&lt;&gt; '控制台'!B4,B276&lt;&gt; '控制台'!B5,F276=""),"",DATE(VALUE(LEFT('控制台'!B5,4)),VALUE(RIGHT('控制台'!B5,2))+1,1)-1-F276)</f>
        <v/>
      </c>
      <c r="J276">
        <f>IF(OR(A276&lt;&gt; '控制台'!B4,B276&lt;&gt; '控制台'!B5,G276=""),"",MAX(0,DATE(VALUE(LEFT('控制台'!B5,4)),VALUE(RIGHT('控制台'!B5,2))+1,1)-1-G276))</f>
        <v/>
      </c>
      <c r="K276">
        <f>IF(A276="","",IF(AND(AND('控制台'!B4&lt;&gt;"",'控制台'!B5&lt;&gt;"",'控制台'!B4='刷新信息'!B6,'控制台'!B5='刷新信息'!B8),A276='控制台'!B4,B276='控制台'!B5,OR(C276="应收",C276="应付"),COUNTIFS('往来余额'!A5:A6000,C276,'往来余额'!B5:B6000,D276)=1,E276&lt;&gt;"",COUNTIFS(A$5:A$504,A276,B$5:B$504,B276,C$5:C$504,C276,D$5:D$504,D276,E$5:E$504,E276)=1,ISNUMBER(F276),I276&gt;=0,ISNUMBER(H276),H276&gt;=0),"纳入","待核实"))</f>
        <v/>
      </c>
    </row>
    <row r="277">
      <c r="A277" s="13" t="n"/>
      <c r="B277" s="13" t="n"/>
      <c r="C277" s="13" t="n"/>
      <c r="D277" s="13" t="n"/>
      <c r="E277" s="13" t="n"/>
      <c r="F277" s="19" t="n"/>
      <c r="G277" s="19" t="n"/>
      <c r="H277" s="15" t="n"/>
      <c r="I277">
        <f>IF(OR(A277&lt;&gt; '控制台'!B4,B277&lt;&gt; '控制台'!B5,F277=""),"",DATE(VALUE(LEFT('控制台'!B5,4)),VALUE(RIGHT('控制台'!B5,2))+1,1)-1-F277)</f>
        <v/>
      </c>
      <c r="J277">
        <f>IF(OR(A277&lt;&gt; '控制台'!B4,B277&lt;&gt; '控制台'!B5,G277=""),"",MAX(0,DATE(VALUE(LEFT('控制台'!B5,4)),VALUE(RIGHT('控制台'!B5,2))+1,1)-1-G277))</f>
        <v/>
      </c>
      <c r="K277">
        <f>IF(A277="","",IF(AND(AND('控制台'!B4&lt;&gt;"",'控制台'!B5&lt;&gt;"",'控制台'!B4='刷新信息'!B6,'控制台'!B5='刷新信息'!B8),A277='控制台'!B4,B277='控制台'!B5,OR(C277="应收",C277="应付"),COUNTIFS('往来余额'!A5:A6000,C277,'往来余额'!B5:B6000,D277)=1,E277&lt;&gt;"",COUNTIFS(A$5:A$504,A277,B$5:B$504,B277,C$5:C$504,C277,D$5:D$504,D277,E$5:E$504,E277)=1,ISNUMBER(F277),I277&gt;=0,ISNUMBER(H277),H277&gt;=0),"纳入","待核实"))</f>
        <v/>
      </c>
    </row>
    <row r="278">
      <c r="A278" s="13" t="n"/>
      <c r="B278" s="13" t="n"/>
      <c r="C278" s="13" t="n"/>
      <c r="D278" s="13" t="n"/>
      <c r="E278" s="13" t="n"/>
      <c r="F278" s="19" t="n"/>
      <c r="G278" s="19" t="n"/>
      <c r="H278" s="15" t="n"/>
      <c r="I278">
        <f>IF(OR(A278&lt;&gt; '控制台'!B4,B278&lt;&gt; '控制台'!B5,F278=""),"",DATE(VALUE(LEFT('控制台'!B5,4)),VALUE(RIGHT('控制台'!B5,2))+1,1)-1-F278)</f>
        <v/>
      </c>
      <c r="J278">
        <f>IF(OR(A278&lt;&gt; '控制台'!B4,B278&lt;&gt; '控制台'!B5,G278=""),"",MAX(0,DATE(VALUE(LEFT('控制台'!B5,4)),VALUE(RIGHT('控制台'!B5,2))+1,1)-1-G278))</f>
        <v/>
      </c>
      <c r="K278">
        <f>IF(A278="","",IF(AND(AND('控制台'!B4&lt;&gt;"",'控制台'!B5&lt;&gt;"",'控制台'!B4='刷新信息'!B6,'控制台'!B5='刷新信息'!B8),A278='控制台'!B4,B278='控制台'!B5,OR(C278="应收",C278="应付"),COUNTIFS('往来余额'!A5:A6000,C278,'往来余额'!B5:B6000,D278)=1,E278&lt;&gt;"",COUNTIFS(A$5:A$504,A278,B$5:B$504,B278,C$5:C$504,C278,D$5:D$504,D278,E$5:E$504,E278)=1,ISNUMBER(F278),I278&gt;=0,ISNUMBER(H278),H278&gt;=0),"纳入","待核实"))</f>
        <v/>
      </c>
    </row>
    <row r="279">
      <c r="A279" s="13" t="n"/>
      <c r="B279" s="13" t="n"/>
      <c r="C279" s="13" t="n"/>
      <c r="D279" s="13" t="n"/>
      <c r="E279" s="13" t="n"/>
      <c r="F279" s="19" t="n"/>
      <c r="G279" s="19" t="n"/>
      <c r="H279" s="15" t="n"/>
      <c r="I279">
        <f>IF(OR(A279&lt;&gt; '控制台'!B4,B279&lt;&gt; '控制台'!B5,F279=""),"",DATE(VALUE(LEFT('控制台'!B5,4)),VALUE(RIGHT('控制台'!B5,2))+1,1)-1-F279)</f>
        <v/>
      </c>
      <c r="J279">
        <f>IF(OR(A279&lt;&gt; '控制台'!B4,B279&lt;&gt; '控制台'!B5,G279=""),"",MAX(0,DATE(VALUE(LEFT('控制台'!B5,4)),VALUE(RIGHT('控制台'!B5,2))+1,1)-1-G279))</f>
        <v/>
      </c>
      <c r="K279">
        <f>IF(A279="","",IF(AND(AND('控制台'!B4&lt;&gt;"",'控制台'!B5&lt;&gt;"",'控制台'!B4='刷新信息'!B6,'控制台'!B5='刷新信息'!B8),A279='控制台'!B4,B279='控制台'!B5,OR(C279="应收",C279="应付"),COUNTIFS('往来余额'!A5:A6000,C279,'往来余额'!B5:B6000,D279)=1,E279&lt;&gt;"",COUNTIFS(A$5:A$504,A279,B$5:B$504,B279,C$5:C$504,C279,D$5:D$504,D279,E$5:E$504,E279)=1,ISNUMBER(F279),I279&gt;=0,ISNUMBER(H279),H279&gt;=0),"纳入","待核实"))</f>
        <v/>
      </c>
    </row>
    <row r="280">
      <c r="A280" s="13" t="n"/>
      <c r="B280" s="13" t="n"/>
      <c r="C280" s="13" t="n"/>
      <c r="D280" s="13" t="n"/>
      <c r="E280" s="13" t="n"/>
      <c r="F280" s="19" t="n"/>
      <c r="G280" s="19" t="n"/>
      <c r="H280" s="15" t="n"/>
      <c r="I280">
        <f>IF(OR(A280&lt;&gt; '控制台'!B4,B280&lt;&gt; '控制台'!B5,F280=""),"",DATE(VALUE(LEFT('控制台'!B5,4)),VALUE(RIGHT('控制台'!B5,2))+1,1)-1-F280)</f>
        <v/>
      </c>
      <c r="J280">
        <f>IF(OR(A280&lt;&gt; '控制台'!B4,B280&lt;&gt; '控制台'!B5,G280=""),"",MAX(0,DATE(VALUE(LEFT('控制台'!B5,4)),VALUE(RIGHT('控制台'!B5,2))+1,1)-1-G280))</f>
        <v/>
      </c>
      <c r="K280">
        <f>IF(A280="","",IF(AND(AND('控制台'!B4&lt;&gt;"",'控制台'!B5&lt;&gt;"",'控制台'!B4='刷新信息'!B6,'控制台'!B5='刷新信息'!B8),A280='控制台'!B4,B280='控制台'!B5,OR(C280="应收",C280="应付"),COUNTIFS('往来余额'!A5:A6000,C280,'往来余额'!B5:B6000,D280)=1,E280&lt;&gt;"",COUNTIFS(A$5:A$504,A280,B$5:B$504,B280,C$5:C$504,C280,D$5:D$504,D280,E$5:E$504,E280)=1,ISNUMBER(F280),I280&gt;=0,ISNUMBER(H280),H280&gt;=0),"纳入","待核实"))</f>
        <v/>
      </c>
    </row>
    <row r="281">
      <c r="A281" s="13" t="n"/>
      <c r="B281" s="13" t="n"/>
      <c r="C281" s="13" t="n"/>
      <c r="D281" s="13" t="n"/>
      <c r="E281" s="13" t="n"/>
      <c r="F281" s="19" t="n"/>
      <c r="G281" s="19" t="n"/>
      <c r="H281" s="15" t="n"/>
      <c r="I281">
        <f>IF(OR(A281&lt;&gt; '控制台'!B4,B281&lt;&gt; '控制台'!B5,F281=""),"",DATE(VALUE(LEFT('控制台'!B5,4)),VALUE(RIGHT('控制台'!B5,2))+1,1)-1-F281)</f>
        <v/>
      </c>
      <c r="J281">
        <f>IF(OR(A281&lt;&gt; '控制台'!B4,B281&lt;&gt; '控制台'!B5,G281=""),"",MAX(0,DATE(VALUE(LEFT('控制台'!B5,4)),VALUE(RIGHT('控制台'!B5,2))+1,1)-1-G281))</f>
        <v/>
      </c>
      <c r="K281">
        <f>IF(A281="","",IF(AND(AND('控制台'!B4&lt;&gt;"",'控制台'!B5&lt;&gt;"",'控制台'!B4='刷新信息'!B6,'控制台'!B5='刷新信息'!B8),A281='控制台'!B4,B281='控制台'!B5,OR(C281="应收",C281="应付"),COUNTIFS('往来余额'!A5:A6000,C281,'往来余额'!B5:B6000,D281)=1,E281&lt;&gt;"",COUNTIFS(A$5:A$504,A281,B$5:B$504,B281,C$5:C$504,C281,D$5:D$504,D281,E$5:E$504,E281)=1,ISNUMBER(F281),I281&gt;=0,ISNUMBER(H281),H281&gt;=0),"纳入","待核实"))</f>
        <v/>
      </c>
    </row>
    <row r="282">
      <c r="A282" s="13" t="n"/>
      <c r="B282" s="13" t="n"/>
      <c r="C282" s="13" t="n"/>
      <c r="D282" s="13" t="n"/>
      <c r="E282" s="13" t="n"/>
      <c r="F282" s="19" t="n"/>
      <c r="G282" s="19" t="n"/>
      <c r="H282" s="15" t="n"/>
      <c r="I282">
        <f>IF(OR(A282&lt;&gt; '控制台'!B4,B282&lt;&gt; '控制台'!B5,F282=""),"",DATE(VALUE(LEFT('控制台'!B5,4)),VALUE(RIGHT('控制台'!B5,2))+1,1)-1-F282)</f>
        <v/>
      </c>
      <c r="J282">
        <f>IF(OR(A282&lt;&gt; '控制台'!B4,B282&lt;&gt; '控制台'!B5,G282=""),"",MAX(0,DATE(VALUE(LEFT('控制台'!B5,4)),VALUE(RIGHT('控制台'!B5,2))+1,1)-1-G282))</f>
        <v/>
      </c>
      <c r="K282">
        <f>IF(A282="","",IF(AND(AND('控制台'!B4&lt;&gt;"",'控制台'!B5&lt;&gt;"",'控制台'!B4='刷新信息'!B6,'控制台'!B5='刷新信息'!B8),A282='控制台'!B4,B282='控制台'!B5,OR(C282="应收",C282="应付"),COUNTIFS('往来余额'!A5:A6000,C282,'往来余额'!B5:B6000,D282)=1,E282&lt;&gt;"",COUNTIFS(A$5:A$504,A282,B$5:B$504,B282,C$5:C$504,C282,D$5:D$504,D282,E$5:E$504,E282)=1,ISNUMBER(F282),I282&gt;=0,ISNUMBER(H282),H282&gt;=0),"纳入","待核实"))</f>
        <v/>
      </c>
    </row>
    <row r="283">
      <c r="A283" s="13" t="n"/>
      <c r="B283" s="13" t="n"/>
      <c r="C283" s="13" t="n"/>
      <c r="D283" s="13" t="n"/>
      <c r="E283" s="13" t="n"/>
      <c r="F283" s="19" t="n"/>
      <c r="G283" s="19" t="n"/>
      <c r="H283" s="15" t="n"/>
      <c r="I283">
        <f>IF(OR(A283&lt;&gt; '控制台'!B4,B283&lt;&gt; '控制台'!B5,F283=""),"",DATE(VALUE(LEFT('控制台'!B5,4)),VALUE(RIGHT('控制台'!B5,2))+1,1)-1-F283)</f>
        <v/>
      </c>
      <c r="J283">
        <f>IF(OR(A283&lt;&gt; '控制台'!B4,B283&lt;&gt; '控制台'!B5,G283=""),"",MAX(0,DATE(VALUE(LEFT('控制台'!B5,4)),VALUE(RIGHT('控制台'!B5,2))+1,1)-1-G283))</f>
        <v/>
      </c>
      <c r="K283">
        <f>IF(A283="","",IF(AND(AND('控制台'!B4&lt;&gt;"",'控制台'!B5&lt;&gt;"",'控制台'!B4='刷新信息'!B6,'控制台'!B5='刷新信息'!B8),A283='控制台'!B4,B283='控制台'!B5,OR(C283="应收",C283="应付"),COUNTIFS('往来余额'!A5:A6000,C283,'往来余额'!B5:B6000,D283)=1,E283&lt;&gt;"",COUNTIFS(A$5:A$504,A283,B$5:B$504,B283,C$5:C$504,C283,D$5:D$504,D283,E$5:E$504,E283)=1,ISNUMBER(F283),I283&gt;=0,ISNUMBER(H283),H283&gt;=0),"纳入","待核实"))</f>
        <v/>
      </c>
    </row>
    <row r="284">
      <c r="A284" s="13" t="n"/>
      <c r="B284" s="13" t="n"/>
      <c r="C284" s="13" t="n"/>
      <c r="D284" s="13" t="n"/>
      <c r="E284" s="13" t="n"/>
      <c r="F284" s="19" t="n"/>
      <c r="G284" s="19" t="n"/>
      <c r="H284" s="15" t="n"/>
      <c r="I284">
        <f>IF(OR(A284&lt;&gt; '控制台'!B4,B284&lt;&gt; '控制台'!B5,F284=""),"",DATE(VALUE(LEFT('控制台'!B5,4)),VALUE(RIGHT('控制台'!B5,2))+1,1)-1-F284)</f>
        <v/>
      </c>
      <c r="J284">
        <f>IF(OR(A284&lt;&gt; '控制台'!B4,B284&lt;&gt; '控制台'!B5,G284=""),"",MAX(0,DATE(VALUE(LEFT('控制台'!B5,4)),VALUE(RIGHT('控制台'!B5,2))+1,1)-1-G284))</f>
        <v/>
      </c>
      <c r="K284">
        <f>IF(A284="","",IF(AND(AND('控制台'!B4&lt;&gt;"",'控制台'!B5&lt;&gt;"",'控制台'!B4='刷新信息'!B6,'控制台'!B5='刷新信息'!B8),A284='控制台'!B4,B284='控制台'!B5,OR(C284="应收",C284="应付"),COUNTIFS('往来余额'!A5:A6000,C284,'往来余额'!B5:B6000,D284)=1,E284&lt;&gt;"",COUNTIFS(A$5:A$504,A284,B$5:B$504,B284,C$5:C$504,C284,D$5:D$504,D284,E$5:E$504,E284)=1,ISNUMBER(F284),I284&gt;=0,ISNUMBER(H284),H284&gt;=0),"纳入","待核实"))</f>
        <v/>
      </c>
    </row>
    <row r="285">
      <c r="A285" s="13" t="n"/>
      <c r="B285" s="13" t="n"/>
      <c r="C285" s="13" t="n"/>
      <c r="D285" s="13" t="n"/>
      <c r="E285" s="13" t="n"/>
      <c r="F285" s="19" t="n"/>
      <c r="G285" s="19" t="n"/>
      <c r="H285" s="15" t="n"/>
      <c r="I285">
        <f>IF(OR(A285&lt;&gt; '控制台'!B4,B285&lt;&gt; '控制台'!B5,F285=""),"",DATE(VALUE(LEFT('控制台'!B5,4)),VALUE(RIGHT('控制台'!B5,2))+1,1)-1-F285)</f>
        <v/>
      </c>
      <c r="J285">
        <f>IF(OR(A285&lt;&gt; '控制台'!B4,B285&lt;&gt; '控制台'!B5,G285=""),"",MAX(0,DATE(VALUE(LEFT('控制台'!B5,4)),VALUE(RIGHT('控制台'!B5,2))+1,1)-1-G285))</f>
        <v/>
      </c>
      <c r="K285">
        <f>IF(A285="","",IF(AND(AND('控制台'!B4&lt;&gt;"",'控制台'!B5&lt;&gt;"",'控制台'!B4='刷新信息'!B6,'控制台'!B5='刷新信息'!B8),A285='控制台'!B4,B285='控制台'!B5,OR(C285="应收",C285="应付"),COUNTIFS('往来余额'!A5:A6000,C285,'往来余额'!B5:B6000,D285)=1,E285&lt;&gt;"",COUNTIFS(A$5:A$504,A285,B$5:B$504,B285,C$5:C$504,C285,D$5:D$504,D285,E$5:E$504,E285)=1,ISNUMBER(F285),I285&gt;=0,ISNUMBER(H285),H285&gt;=0),"纳入","待核实"))</f>
        <v/>
      </c>
    </row>
    <row r="286">
      <c r="A286" s="13" t="n"/>
      <c r="B286" s="13" t="n"/>
      <c r="C286" s="13" t="n"/>
      <c r="D286" s="13" t="n"/>
      <c r="E286" s="13" t="n"/>
      <c r="F286" s="19" t="n"/>
      <c r="G286" s="19" t="n"/>
      <c r="H286" s="15" t="n"/>
      <c r="I286">
        <f>IF(OR(A286&lt;&gt; '控制台'!B4,B286&lt;&gt; '控制台'!B5,F286=""),"",DATE(VALUE(LEFT('控制台'!B5,4)),VALUE(RIGHT('控制台'!B5,2))+1,1)-1-F286)</f>
        <v/>
      </c>
      <c r="J286">
        <f>IF(OR(A286&lt;&gt; '控制台'!B4,B286&lt;&gt; '控制台'!B5,G286=""),"",MAX(0,DATE(VALUE(LEFT('控制台'!B5,4)),VALUE(RIGHT('控制台'!B5,2))+1,1)-1-G286))</f>
        <v/>
      </c>
      <c r="K286">
        <f>IF(A286="","",IF(AND(AND('控制台'!B4&lt;&gt;"",'控制台'!B5&lt;&gt;"",'控制台'!B4='刷新信息'!B6,'控制台'!B5='刷新信息'!B8),A286='控制台'!B4,B286='控制台'!B5,OR(C286="应收",C286="应付"),COUNTIFS('往来余额'!A5:A6000,C286,'往来余额'!B5:B6000,D286)=1,E286&lt;&gt;"",COUNTIFS(A$5:A$504,A286,B$5:B$504,B286,C$5:C$504,C286,D$5:D$504,D286,E$5:E$504,E286)=1,ISNUMBER(F286),I286&gt;=0,ISNUMBER(H286),H286&gt;=0),"纳入","待核实"))</f>
        <v/>
      </c>
    </row>
    <row r="287">
      <c r="A287" s="13" t="n"/>
      <c r="B287" s="13" t="n"/>
      <c r="C287" s="13" t="n"/>
      <c r="D287" s="13" t="n"/>
      <c r="E287" s="13" t="n"/>
      <c r="F287" s="19" t="n"/>
      <c r="G287" s="19" t="n"/>
      <c r="H287" s="15" t="n"/>
      <c r="I287">
        <f>IF(OR(A287&lt;&gt; '控制台'!B4,B287&lt;&gt; '控制台'!B5,F287=""),"",DATE(VALUE(LEFT('控制台'!B5,4)),VALUE(RIGHT('控制台'!B5,2))+1,1)-1-F287)</f>
        <v/>
      </c>
      <c r="J287">
        <f>IF(OR(A287&lt;&gt; '控制台'!B4,B287&lt;&gt; '控制台'!B5,G287=""),"",MAX(0,DATE(VALUE(LEFT('控制台'!B5,4)),VALUE(RIGHT('控制台'!B5,2))+1,1)-1-G287))</f>
        <v/>
      </c>
      <c r="K287">
        <f>IF(A287="","",IF(AND(AND('控制台'!B4&lt;&gt;"",'控制台'!B5&lt;&gt;"",'控制台'!B4='刷新信息'!B6,'控制台'!B5='刷新信息'!B8),A287='控制台'!B4,B287='控制台'!B5,OR(C287="应收",C287="应付"),COUNTIFS('往来余额'!A5:A6000,C287,'往来余额'!B5:B6000,D287)=1,E287&lt;&gt;"",COUNTIFS(A$5:A$504,A287,B$5:B$504,B287,C$5:C$504,C287,D$5:D$504,D287,E$5:E$504,E287)=1,ISNUMBER(F287),I287&gt;=0,ISNUMBER(H287),H287&gt;=0),"纳入","待核实"))</f>
        <v/>
      </c>
    </row>
    <row r="288">
      <c r="A288" s="13" t="n"/>
      <c r="B288" s="13" t="n"/>
      <c r="C288" s="13" t="n"/>
      <c r="D288" s="13" t="n"/>
      <c r="E288" s="13" t="n"/>
      <c r="F288" s="19" t="n"/>
      <c r="G288" s="19" t="n"/>
      <c r="H288" s="15" t="n"/>
      <c r="I288">
        <f>IF(OR(A288&lt;&gt; '控制台'!B4,B288&lt;&gt; '控制台'!B5,F288=""),"",DATE(VALUE(LEFT('控制台'!B5,4)),VALUE(RIGHT('控制台'!B5,2))+1,1)-1-F288)</f>
        <v/>
      </c>
      <c r="J288">
        <f>IF(OR(A288&lt;&gt; '控制台'!B4,B288&lt;&gt; '控制台'!B5,G288=""),"",MAX(0,DATE(VALUE(LEFT('控制台'!B5,4)),VALUE(RIGHT('控制台'!B5,2))+1,1)-1-G288))</f>
        <v/>
      </c>
      <c r="K288">
        <f>IF(A288="","",IF(AND(AND('控制台'!B4&lt;&gt;"",'控制台'!B5&lt;&gt;"",'控制台'!B4='刷新信息'!B6,'控制台'!B5='刷新信息'!B8),A288='控制台'!B4,B288='控制台'!B5,OR(C288="应收",C288="应付"),COUNTIFS('往来余额'!A5:A6000,C288,'往来余额'!B5:B6000,D288)=1,E288&lt;&gt;"",COUNTIFS(A$5:A$504,A288,B$5:B$504,B288,C$5:C$504,C288,D$5:D$504,D288,E$5:E$504,E288)=1,ISNUMBER(F288),I288&gt;=0,ISNUMBER(H288),H288&gt;=0),"纳入","待核实"))</f>
        <v/>
      </c>
    </row>
    <row r="289">
      <c r="A289" s="13" t="n"/>
      <c r="B289" s="13" t="n"/>
      <c r="C289" s="13" t="n"/>
      <c r="D289" s="13" t="n"/>
      <c r="E289" s="13" t="n"/>
      <c r="F289" s="19" t="n"/>
      <c r="G289" s="19" t="n"/>
      <c r="H289" s="15" t="n"/>
      <c r="I289">
        <f>IF(OR(A289&lt;&gt; '控制台'!B4,B289&lt;&gt; '控制台'!B5,F289=""),"",DATE(VALUE(LEFT('控制台'!B5,4)),VALUE(RIGHT('控制台'!B5,2))+1,1)-1-F289)</f>
        <v/>
      </c>
      <c r="J289">
        <f>IF(OR(A289&lt;&gt; '控制台'!B4,B289&lt;&gt; '控制台'!B5,G289=""),"",MAX(0,DATE(VALUE(LEFT('控制台'!B5,4)),VALUE(RIGHT('控制台'!B5,2))+1,1)-1-G289))</f>
        <v/>
      </c>
      <c r="K289">
        <f>IF(A289="","",IF(AND(AND('控制台'!B4&lt;&gt;"",'控制台'!B5&lt;&gt;"",'控制台'!B4='刷新信息'!B6,'控制台'!B5='刷新信息'!B8),A289='控制台'!B4,B289='控制台'!B5,OR(C289="应收",C289="应付"),COUNTIFS('往来余额'!A5:A6000,C289,'往来余额'!B5:B6000,D289)=1,E289&lt;&gt;"",COUNTIFS(A$5:A$504,A289,B$5:B$504,B289,C$5:C$504,C289,D$5:D$504,D289,E$5:E$504,E289)=1,ISNUMBER(F289),I289&gt;=0,ISNUMBER(H289),H289&gt;=0),"纳入","待核实"))</f>
        <v/>
      </c>
    </row>
    <row r="290">
      <c r="A290" s="13" t="n"/>
      <c r="B290" s="13" t="n"/>
      <c r="C290" s="13" t="n"/>
      <c r="D290" s="13" t="n"/>
      <c r="E290" s="13" t="n"/>
      <c r="F290" s="19" t="n"/>
      <c r="G290" s="19" t="n"/>
      <c r="H290" s="15" t="n"/>
      <c r="I290">
        <f>IF(OR(A290&lt;&gt; '控制台'!B4,B290&lt;&gt; '控制台'!B5,F290=""),"",DATE(VALUE(LEFT('控制台'!B5,4)),VALUE(RIGHT('控制台'!B5,2))+1,1)-1-F290)</f>
        <v/>
      </c>
      <c r="J290">
        <f>IF(OR(A290&lt;&gt; '控制台'!B4,B290&lt;&gt; '控制台'!B5,G290=""),"",MAX(0,DATE(VALUE(LEFT('控制台'!B5,4)),VALUE(RIGHT('控制台'!B5,2))+1,1)-1-G290))</f>
        <v/>
      </c>
      <c r="K290">
        <f>IF(A290="","",IF(AND(AND('控制台'!B4&lt;&gt;"",'控制台'!B5&lt;&gt;"",'控制台'!B4='刷新信息'!B6,'控制台'!B5='刷新信息'!B8),A290='控制台'!B4,B290='控制台'!B5,OR(C290="应收",C290="应付"),COUNTIFS('往来余额'!A5:A6000,C290,'往来余额'!B5:B6000,D290)=1,E290&lt;&gt;"",COUNTIFS(A$5:A$504,A290,B$5:B$504,B290,C$5:C$504,C290,D$5:D$504,D290,E$5:E$504,E290)=1,ISNUMBER(F290),I290&gt;=0,ISNUMBER(H290),H290&gt;=0),"纳入","待核实"))</f>
        <v/>
      </c>
    </row>
    <row r="291">
      <c r="A291" s="13" t="n"/>
      <c r="B291" s="13" t="n"/>
      <c r="C291" s="13" t="n"/>
      <c r="D291" s="13" t="n"/>
      <c r="E291" s="13" t="n"/>
      <c r="F291" s="19" t="n"/>
      <c r="G291" s="19" t="n"/>
      <c r="H291" s="15" t="n"/>
      <c r="I291">
        <f>IF(OR(A291&lt;&gt; '控制台'!B4,B291&lt;&gt; '控制台'!B5,F291=""),"",DATE(VALUE(LEFT('控制台'!B5,4)),VALUE(RIGHT('控制台'!B5,2))+1,1)-1-F291)</f>
        <v/>
      </c>
      <c r="J291">
        <f>IF(OR(A291&lt;&gt; '控制台'!B4,B291&lt;&gt; '控制台'!B5,G291=""),"",MAX(0,DATE(VALUE(LEFT('控制台'!B5,4)),VALUE(RIGHT('控制台'!B5,2))+1,1)-1-G291))</f>
        <v/>
      </c>
      <c r="K291">
        <f>IF(A291="","",IF(AND(AND('控制台'!B4&lt;&gt;"",'控制台'!B5&lt;&gt;"",'控制台'!B4='刷新信息'!B6,'控制台'!B5='刷新信息'!B8),A291='控制台'!B4,B291='控制台'!B5,OR(C291="应收",C291="应付"),COUNTIFS('往来余额'!A5:A6000,C291,'往来余额'!B5:B6000,D291)=1,E291&lt;&gt;"",COUNTIFS(A$5:A$504,A291,B$5:B$504,B291,C$5:C$504,C291,D$5:D$504,D291,E$5:E$504,E291)=1,ISNUMBER(F291),I291&gt;=0,ISNUMBER(H291),H291&gt;=0),"纳入","待核实"))</f>
        <v/>
      </c>
    </row>
    <row r="292">
      <c r="A292" s="13" t="n"/>
      <c r="B292" s="13" t="n"/>
      <c r="C292" s="13" t="n"/>
      <c r="D292" s="13" t="n"/>
      <c r="E292" s="13" t="n"/>
      <c r="F292" s="19" t="n"/>
      <c r="G292" s="19" t="n"/>
      <c r="H292" s="15" t="n"/>
      <c r="I292">
        <f>IF(OR(A292&lt;&gt; '控制台'!B4,B292&lt;&gt; '控制台'!B5,F292=""),"",DATE(VALUE(LEFT('控制台'!B5,4)),VALUE(RIGHT('控制台'!B5,2))+1,1)-1-F292)</f>
        <v/>
      </c>
      <c r="J292">
        <f>IF(OR(A292&lt;&gt; '控制台'!B4,B292&lt;&gt; '控制台'!B5,G292=""),"",MAX(0,DATE(VALUE(LEFT('控制台'!B5,4)),VALUE(RIGHT('控制台'!B5,2))+1,1)-1-G292))</f>
        <v/>
      </c>
      <c r="K292">
        <f>IF(A292="","",IF(AND(AND('控制台'!B4&lt;&gt;"",'控制台'!B5&lt;&gt;"",'控制台'!B4='刷新信息'!B6,'控制台'!B5='刷新信息'!B8),A292='控制台'!B4,B292='控制台'!B5,OR(C292="应收",C292="应付"),COUNTIFS('往来余额'!A5:A6000,C292,'往来余额'!B5:B6000,D292)=1,E292&lt;&gt;"",COUNTIFS(A$5:A$504,A292,B$5:B$504,B292,C$5:C$504,C292,D$5:D$504,D292,E$5:E$504,E292)=1,ISNUMBER(F292),I292&gt;=0,ISNUMBER(H292),H292&gt;=0),"纳入","待核实"))</f>
        <v/>
      </c>
    </row>
    <row r="293">
      <c r="A293" s="13" t="n"/>
      <c r="B293" s="13" t="n"/>
      <c r="C293" s="13" t="n"/>
      <c r="D293" s="13" t="n"/>
      <c r="E293" s="13" t="n"/>
      <c r="F293" s="19" t="n"/>
      <c r="G293" s="19" t="n"/>
      <c r="H293" s="15" t="n"/>
      <c r="I293">
        <f>IF(OR(A293&lt;&gt; '控制台'!B4,B293&lt;&gt; '控制台'!B5,F293=""),"",DATE(VALUE(LEFT('控制台'!B5,4)),VALUE(RIGHT('控制台'!B5,2))+1,1)-1-F293)</f>
        <v/>
      </c>
      <c r="J293">
        <f>IF(OR(A293&lt;&gt; '控制台'!B4,B293&lt;&gt; '控制台'!B5,G293=""),"",MAX(0,DATE(VALUE(LEFT('控制台'!B5,4)),VALUE(RIGHT('控制台'!B5,2))+1,1)-1-G293))</f>
        <v/>
      </c>
      <c r="K293">
        <f>IF(A293="","",IF(AND(AND('控制台'!B4&lt;&gt;"",'控制台'!B5&lt;&gt;"",'控制台'!B4='刷新信息'!B6,'控制台'!B5='刷新信息'!B8),A293='控制台'!B4,B293='控制台'!B5,OR(C293="应收",C293="应付"),COUNTIFS('往来余额'!A5:A6000,C293,'往来余额'!B5:B6000,D293)=1,E293&lt;&gt;"",COUNTIFS(A$5:A$504,A293,B$5:B$504,B293,C$5:C$504,C293,D$5:D$504,D293,E$5:E$504,E293)=1,ISNUMBER(F293),I293&gt;=0,ISNUMBER(H293),H293&gt;=0),"纳入","待核实"))</f>
        <v/>
      </c>
    </row>
    <row r="294">
      <c r="A294" s="13" t="n"/>
      <c r="B294" s="13" t="n"/>
      <c r="C294" s="13" t="n"/>
      <c r="D294" s="13" t="n"/>
      <c r="E294" s="13" t="n"/>
      <c r="F294" s="19" t="n"/>
      <c r="G294" s="19" t="n"/>
      <c r="H294" s="15" t="n"/>
      <c r="I294">
        <f>IF(OR(A294&lt;&gt; '控制台'!B4,B294&lt;&gt; '控制台'!B5,F294=""),"",DATE(VALUE(LEFT('控制台'!B5,4)),VALUE(RIGHT('控制台'!B5,2))+1,1)-1-F294)</f>
        <v/>
      </c>
      <c r="J294">
        <f>IF(OR(A294&lt;&gt; '控制台'!B4,B294&lt;&gt; '控制台'!B5,G294=""),"",MAX(0,DATE(VALUE(LEFT('控制台'!B5,4)),VALUE(RIGHT('控制台'!B5,2))+1,1)-1-G294))</f>
        <v/>
      </c>
      <c r="K294">
        <f>IF(A294="","",IF(AND(AND('控制台'!B4&lt;&gt;"",'控制台'!B5&lt;&gt;"",'控制台'!B4='刷新信息'!B6,'控制台'!B5='刷新信息'!B8),A294='控制台'!B4,B294='控制台'!B5,OR(C294="应收",C294="应付"),COUNTIFS('往来余额'!A5:A6000,C294,'往来余额'!B5:B6000,D294)=1,E294&lt;&gt;"",COUNTIFS(A$5:A$504,A294,B$5:B$504,B294,C$5:C$504,C294,D$5:D$504,D294,E$5:E$504,E294)=1,ISNUMBER(F294),I294&gt;=0,ISNUMBER(H294),H294&gt;=0),"纳入","待核实"))</f>
        <v/>
      </c>
    </row>
    <row r="295">
      <c r="A295" s="13" t="n"/>
      <c r="B295" s="13" t="n"/>
      <c r="C295" s="13" t="n"/>
      <c r="D295" s="13" t="n"/>
      <c r="E295" s="13" t="n"/>
      <c r="F295" s="19" t="n"/>
      <c r="G295" s="19" t="n"/>
      <c r="H295" s="15" t="n"/>
      <c r="I295">
        <f>IF(OR(A295&lt;&gt; '控制台'!B4,B295&lt;&gt; '控制台'!B5,F295=""),"",DATE(VALUE(LEFT('控制台'!B5,4)),VALUE(RIGHT('控制台'!B5,2))+1,1)-1-F295)</f>
        <v/>
      </c>
      <c r="J295">
        <f>IF(OR(A295&lt;&gt; '控制台'!B4,B295&lt;&gt; '控制台'!B5,G295=""),"",MAX(0,DATE(VALUE(LEFT('控制台'!B5,4)),VALUE(RIGHT('控制台'!B5,2))+1,1)-1-G295))</f>
        <v/>
      </c>
      <c r="K295">
        <f>IF(A295="","",IF(AND(AND('控制台'!B4&lt;&gt;"",'控制台'!B5&lt;&gt;"",'控制台'!B4='刷新信息'!B6,'控制台'!B5='刷新信息'!B8),A295='控制台'!B4,B295='控制台'!B5,OR(C295="应收",C295="应付"),COUNTIFS('往来余额'!A5:A6000,C295,'往来余额'!B5:B6000,D295)=1,E295&lt;&gt;"",COUNTIFS(A$5:A$504,A295,B$5:B$504,B295,C$5:C$504,C295,D$5:D$504,D295,E$5:E$504,E295)=1,ISNUMBER(F295),I295&gt;=0,ISNUMBER(H295),H295&gt;=0),"纳入","待核实"))</f>
        <v/>
      </c>
    </row>
    <row r="296">
      <c r="A296" s="13" t="n"/>
      <c r="B296" s="13" t="n"/>
      <c r="C296" s="13" t="n"/>
      <c r="D296" s="13" t="n"/>
      <c r="E296" s="13" t="n"/>
      <c r="F296" s="19" t="n"/>
      <c r="G296" s="19" t="n"/>
      <c r="H296" s="15" t="n"/>
      <c r="I296">
        <f>IF(OR(A296&lt;&gt; '控制台'!B4,B296&lt;&gt; '控制台'!B5,F296=""),"",DATE(VALUE(LEFT('控制台'!B5,4)),VALUE(RIGHT('控制台'!B5,2))+1,1)-1-F296)</f>
        <v/>
      </c>
      <c r="J296">
        <f>IF(OR(A296&lt;&gt; '控制台'!B4,B296&lt;&gt; '控制台'!B5,G296=""),"",MAX(0,DATE(VALUE(LEFT('控制台'!B5,4)),VALUE(RIGHT('控制台'!B5,2))+1,1)-1-G296))</f>
        <v/>
      </c>
      <c r="K296">
        <f>IF(A296="","",IF(AND(AND('控制台'!B4&lt;&gt;"",'控制台'!B5&lt;&gt;"",'控制台'!B4='刷新信息'!B6,'控制台'!B5='刷新信息'!B8),A296='控制台'!B4,B296='控制台'!B5,OR(C296="应收",C296="应付"),COUNTIFS('往来余额'!A5:A6000,C296,'往来余额'!B5:B6000,D296)=1,E296&lt;&gt;"",COUNTIFS(A$5:A$504,A296,B$5:B$504,B296,C$5:C$504,C296,D$5:D$504,D296,E$5:E$504,E296)=1,ISNUMBER(F296),I296&gt;=0,ISNUMBER(H296),H296&gt;=0),"纳入","待核实"))</f>
        <v/>
      </c>
    </row>
    <row r="297">
      <c r="A297" s="13" t="n"/>
      <c r="B297" s="13" t="n"/>
      <c r="C297" s="13" t="n"/>
      <c r="D297" s="13" t="n"/>
      <c r="E297" s="13" t="n"/>
      <c r="F297" s="19" t="n"/>
      <c r="G297" s="19" t="n"/>
      <c r="H297" s="15" t="n"/>
      <c r="I297">
        <f>IF(OR(A297&lt;&gt; '控制台'!B4,B297&lt;&gt; '控制台'!B5,F297=""),"",DATE(VALUE(LEFT('控制台'!B5,4)),VALUE(RIGHT('控制台'!B5,2))+1,1)-1-F297)</f>
        <v/>
      </c>
      <c r="J297">
        <f>IF(OR(A297&lt;&gt; '控制台'!B4,B297&lt;&gt; '控制台'!B5,G297=""),"",MAX(0,DATE(VALUE(LEFT('控制台'!B5,4)),VALUE(RIGHT('控制台'!B5,2))+1,1)-1-G297))</f>
        <v/>
      </c>
      <c r="K297">
        <f>IF(A297="","",IF(AND(AND('控制台'!B4&lt;&gt;"",'控制台'!B5&lt;&gt;"",'控制台'!B4='刷新信息'!B6,'控制台'!B5='刷新信息'!B8),A297='控制台'!B4,B297='控制台'!B5,OR(C297="应收",C297="应付"),COUNTIFS('往来余额'!A5:A6000,C297,'往来余额'!B5:B6000,D297)=1,E297&lt;&gt;"",COUNTIFS(A$5:A$504,A297,B$5:B$504,B297,C$5:C$504,C297,D$5:D$504,D297,E$5:E$504,E297)=1,ISNUMBER(F297),I297&gt;=0,ISNUMBER(H297),H297&gt;=0),"纳入","待核实"))</f>
        <v/>
      </c>
    </row>
    <row r="298">
      <c r="A298" s="13" t="n"/>
      <c r="B298" s="13" t="n"/>
      <c r="C298" s="13" t="n"/>
      <c r="D298" s="13" t="n"/>
      <c r="E298" s="13" t="n"/>
      <c r="F298" s="19" t="n"/>
      <c r="G298" s="19" t="n"/>
      <c r="H298" s="15" t="n"/>
      <c r="I298">
        <f>IF(OR(A298&lt;&gt; '控制台'!B4,B298&lt;&gt; '控制台'!B5,F298=""),"",DATE(VALUE(LEFT('控制台'!B5,4)),VALUE(RIGHT('控制台'!B5,2))+1,1)-1-F298)</f>
        <v/>
      </c>
      <c r="J298">
        <f>IF(OR(A298&lt;&gt; '控制台'!B4,B298&lt;&gt; '控制台'!B5,G298=""),"",MAX(0,DATE(VALUE(LEFT('控制台'!B5,4)),VALUE(RIGHT('控制台'!B5,2))+1,1)-1-G298))</f>
        <v/>
      </c>
      <c r="K298">
        <f>IF(A298="","",IF(AND(AND('控制台'!B4&lt;&gt;"",'控制台'!B5&lt;&gt;"",'控制台'!B4='刷新信息'!B6,'控制台'!B5='刷新信息'!B8),A298='控制台'!B4,B298='控制台'!B5,OR(C298="应收",C298="应付"),COUNTIFS('往来余额'!A5:A6000,C298,'往来余额'!B5:B6000,D298)=1,E298&lt;&gt;"",COUNTIFS(A$5:A$504,A298,B$5:B$504,B298,C$5:C$504,C298,D$5:D$504,D298,E$5:E$504,E298)=1,ISNUMBER(F298),I298&gt;=0,ISNUMBER(H298),H298&gt;=0),"纳入","待核实"))</f>
        <v/>
      </c>
    </row>
    <row r="299">
      <c r="A299" s="13" t="n"/>
      <c r="B299" s="13" t="n"/>
      <c r="C299" s="13" t="n"/>
      <c r="D299" s="13" t="n"/>
      <c r="E299" s="13" t="n"/>
      <c r="F299" s="19" t="n"/>
      <c r="G299" s="19" t="n"/>
      <c r="H299" s="15" t="n"/>
      <c r="I299">
        <f>IF(OR(A299&lt;&gt; '控制台'!B4,B299&lt;&gt; '控制台'!B5,F299=""),"",DATE(VALUE(LEFT('控制台'!B5,4)),VALUE(RIGHT('控制台'!B5,2))+1,1)-1-F299)</f>
        <v/>
      </c>
      <c r="J299">
        <f>IF(OR(A299&lt;&gt; '控制台'!B4,B299&lt;&gt; '控制台'!B5,G299=""),"",MAX(0,DATE(VALUE(LEFT('控制台'!B5,4)),VALUE(RIGHT('控制台'!B5,2))+1,1)-1-G299))</f>
        <v/>
      </c>
      <c r="K299">
        <f>IF(A299="","",IF(AND(AND('控制台'!B4&lt;&gt;"",'控制台'!B5&lt;&gt;"",'控制台'!B4='刷新信息'!B6,'控制台'!B5='刷新信息'!B8),A299='控制台'!B4,B299='控制台'!B5,OR(C299="应收",C299="应付"),COUNTIFS('往来余额'!A5:A6000,C299,'往来余额'!B5:B6000,D299)=1,E299&lt;&gt;"",COUNTIFS(A$5:A$504,A299,B$5:B$504,B299,C$5:C$504,C299,D$5:D$504,D299,E$5:E$504,E299)=1,ISNUMBER(F299),I299&gt;=0,ISNUMBER(H299),H299&gt;=0),"纳入","待核实"))</f>
        <v/>
      </c>
    </row>
    <row r="300">
      <c r="A300" s="13" t="n"/>
      <c r="B300" s="13" t="n"/>
      <c r="C300" s="13" t="n"/>
      <c r="D300" s="13" t="n"/>
      <c r="E300" s="13" t="n"/>
      <c r="F300" s="19" t="n"/>
      <c r="G300" s="19" t="n"/>
      <c r="H300" s="15" t="n"/>
      <c r="I300">
        <f>IF(OR(A300&lt;&gt; '控制台'!B4,B300&lt;&gt; '控制台'!B5,F300=""),"",DATE(VALUE(LEFT('控制台'!B5,4)),VALUE(RIGHT('控制台'!B5,2))+1,1)-1-F300)</f>
        <v/>
      </c>
      <c r="J300">
        <f>IF(OR(A300&lt;&gt; '控制台'!B4,B300&lt;&gt; '控制台'!B5,G300=""),"",MAX(0,DATE(VALUE(LEFT('控制台'!B5,4)),VALUE(RIGHT('控制台'!B5,2))+1,1)-1-G300))</f>
        <v/>
      </c>
      <c r="K300">
        <f>IF(A300="","",IF(AND(AND('控制台'!B4&lt;&gt;"",'控制台'!B5&lt;&gt;"",'控制台'!B4='刷新信息'!B6,'控制台'!B5='刷新信息'!B8),A300='控制台'!B4,B300='控制台'!B5,OR(C300="应收",C300="应付"),COUNTIFS('往来余额'!A5:A6000,C300,'往来余额'!B5:B6000,D300)=1,E300&lt;&gt;"",COUNTIFS(A$5:A$504,A300,B$5:B$504,B300,C$5:C$504,C300,D$5:D$504,D300,E$5:E$504,E300)=1,ISNUMBER(F300),I300&gt;=0,ISNUMBER(H300),H300&gt;=0),"纳入","待核实"))</f>
        <v/>
      </c>
    </row>
    <row r="301">
      <c r="A301" s="13" t="n"/>
      <c r="B301" s="13" t="n"/>
      <c r="C301" s="13" t="n"/>
      <c r="D301" s="13" t="n"/>
      <c r="E301" s="13" t="n"/>
      <c r="F301" s="19" t="n"/>
      <c r="G301" s="19" t="n"/>
      <c r="H301" s="15" t="n"/>
      <c r="I301">
        <f>IF(OR(A301&lt;&gt; '控制台'!B4,B301&lt;&gt; '控制台'!B5,F301=""),"",DATE(VALUE(LEFT('控制台'!B5,4)),VALUE(RIGHT('控制台'!B5,2))+1,1)-1-F301)</f>
        <v/>
      </c>
      <c r="J301">
        <f>IF(OR(A301&lt;&gt; '控制台'!B4,B301&lt;&gt; '控制台'!B5,G301=""),"",MAX(0,DATE(VALUE(LEFT('控制台'!B5,4)),VALUE(RIGHT('控制台'!B5,2))+1,1)-1-G301))</f>
        <v/>
      </c>
      <c r="K301">
        <f>IF(A301="","",IF(AND(AND('控制台'!B4&lt;&gt;"",'控制台'!B5&lt;&gt;"",'控制台'!B4='刷新信息'!B6,'控制台'!B5='刷新信息'!B8),A301='控制台'!B4,B301='控制台'!B5,OR(C301="应收",C301="应付"),COUNTIFS('往来余额'!A5:A6000,C301,'往来余额'!B5:B6000,D301)=1,E301&lt;&gt;"",COUNTIFS(A$5:A$504,A301,B$5:B$504,B301,C$5:C$504,C301,D$5:D$504,D301,E$5:E$504,E301)=1,ISNUMBER(F301),I301&gt;=0,ISNUMBER(H301),H301&gt;=0),"纳入","待核实"))</f>
        <v/>
      </c>
    </row>
    <row r="302">
      <c r="A302" s="13" t="n"/>
      <c r="B302" s="13" t="n"/>
      <c r="C302" s="13" t="n"/>
      <c r="D302" s="13" t="n"/>
      <c r="E302" s="13" t="n"/>
      <c r="F302" s="19" t="n"/>
      <c r="G302" s="19" t="n"/>
      <c r="H302" s="15" t="n"/>
      <c r="I302">
        <f>IF(OR(A302&lt;&gt; '控制台'!B4,B302&lt;&gt; '控制台'!B5,F302=""),"",DATE(VALUE(LEFT('控制台'!B5,4)),VALUE(RIGHT('控制台'!B5,2))+1,1)-1-F302)</f>
        <v/>
      </c>
      <c r="J302">
        <f>IF(OR(A302&lt;&gt; '控制台'!B4,B302&lt;&gt; '控制台'!B5,G302=""),"",MAX(0,DATE(VALUE(LEFT('控制台'!B5,4)),VALUE(RIGHT('控制台'!B5,2))+1,1)-1-G302))</f>
        <v/>
      </c>
      <c r="K302">
        <f>IF(A302="","",IF(AND(AND('控制台'!B4&lt;&gt;"",'控制台'!B5&lt;&gt;"",'控制台'!B4='刷新信息'!B6,'控制台'!B5='刷新信息'!B8),A302='控制台'!B4,B302='控制台'!B5,OR(C302="应收",C302="应付"),COUNTIFS('往来余额'!A5:A6000,C302,'往来余额'!B5:B6000,D302)=1,E302&lt;&gt;"",COUNTIFS(A$5:A$504,A302,B$5:B$504,B302,C$5:C$504,C302,D$5:D$504,D302,E$5:E$504,E302)=1,ISNUMBER(F302),I302&gt;=0,ISNUMBER(H302),H302&gt;=0),"纳入","待核实"))</f>
        <v/>
      </c>
    </row>
    <row r="303">
      <c r="A303" s="13" t="n"/>
      <c r="B303" s="13" t="n"/>
      <c r="C303" s="13" t="n"/>
      <c r="D303" s="13" t="n"/>
      <c r="E303" s="13" t="n"/>
      <c r="F303" s="19" t="n"/>
      <c r="G303" s="19" t="n"/>
      <c r="H303" s="15" t="n"/>
      <c r="I303">
        <f>IF(OR(A303&lt;&gt; '控制台'!B4,B303&lt;&gt; '控制台'!B5,F303=""),"",DATE(VALUE(LEFT('控制台'!B5,4)),VALUE(RIGHT('控制台'!B5,2))+1,1)-1-F303)</f>
        <v/>
      </c>
      <c r="J303">
        <f>IF(OR(A303&lt;&gt; '控制台'!B4,B303&lt;&gt; '控制台'!B5,G303=""),"",MAX(0,DATE(VALUE(LEFT('控制台'!B5,4)),VALUE(RIGHT('控制台'!B5,2))+1,1)-1-G303))</f>
        <v/>
      </c>
      <c r="K303">
        <f>IF(A303="","",IF(AND(AND('控制台'!B4&lt;&gt;"",'控制台'!B5&lt;&gt;"",'控制台'!B4='刷新信息'!B6,'控制台'!B5='刷新信息'!B8),A303='控制台'!B4,B303='控制台'!B5,OR(C303="应收",C303="应付"),COUNTIFS('往来余额'!A5:A6000,C303,'往来余额'!B5:B6000,D303)=1,E303&lt;&gt;"",COUNTIFS(A$5:A$504,A303,B$5:B$504,B303,C$5:C$504,C303,D$5:D$504,D303,E$5:E$504,E303)=1,ISNUMBER(F303),I303&gt;=0,ISNUMBER(H303),H303&gt;=0),"纳入","待核实"))</f>
        <v/>
      </c>
    </row>
    <row r="304">
      <c r="A304" s="13" t="n"/>
      <c r="B304" s="13" t="n"/>
      <c r="C304" s="13" t="n"/>
      <c r="D304" s="13" t="n"/>
      <c r="E304" s="13" t="n"/>
      <c r="F304" s="19" t="n"/>
      <c r="G304" s="19" t="n"/>
      <c r="H304" s="15" t="n"/>
      <c r="I304">
        <f>IF(OR(A304&lt;&gt; '控制台'!B4,B304&lt;&gt; '控制台'!B5,F304=""),"",DATE(VALUE(LEFT('控制台'!B5,4)),VALUE(RIGHT('控制台'!B5,2))+1,1)-1-F304)</f>
        <v/>
      </c>
      <c r="J304">
        <f>IF(OR(A304&lt;&gt; '控制台'!B4,B304&lt;&gt; '控制台'!B5,G304=""),"",MAX(0,DATE(VALUE(LEFT('控制台'!B5,4)),VALUE(RIGHT('控制台'!B5,2))+1,1)-1-G304))</f>
        <v/>
      </c>
      <c r="K304">
        <f>IF(A304="","",IF(AND(AND('控制台'!B4&lt;&gt;"",'控制台'!B5&lt;&gt;"",'控制台'!B4='刷新信息'!B6,'控制台'!B5='刷新信息'!B8),A304='控制台'!B4,B304='控制台'!B5,OR(C304="应收",C304="应付"),COUNTIFS('往来余额'!A5:A6000,C304,'往来余额'!B5:B6000,D304)=1,E304&lt;&gt;"",COUNTIFS(A$5:A$504,A304,B$5:B$504,B304,C$5:C$504,C304,D$5:D$504,D304,E$5:E$504,E304)=1,ISNUMBER(F304),I304&gt;=0,ISNUMBER(H304),H304&gt;=0),"纳入","待核实"))</f>
        <v/>
      </c>
    </row>
    <row r="305">
      <c r="A305" s="13" t="n"/>
      <c r="B305" s="13" t="n"/>
      <c r="C305" s="13" t="n"/>
      <c r="D305" s="13" t="n"/>
      <c r="E305" s="13" t="n"/>
      <c r="F305" s="19" t="n"/>
      <c r="G305" s="19" t="n"/>
      <c r="H305" s="15" t="n"/>
      <c r="I305">
        <f>IF(OR(A305&lt;&gt; '控制台'!B4,B305&lt;&gt; '控制台'!B5,F305=""),"",DATE(VALUE(LEFT('控制台'!B5,4)),VALUE(RIGHT('控制台'!B5,2))+1,1)-1-F305)</f>
        <v/>
      </c>
      <c r="J305">
        <f>IF(OR(A305&lt;&gt; '控制台'!B4,B305&lt;&gt; '控制台'!B5,G305=""),"",MAX(0,DATE(VALUE(LEFT('控制台'!B5,4)),VALUE(RIGHT('控制台'!B5,2))+1,1)-1-G305))</f>
        <v/>
      </c>
      <c r="K305">
        <f>IF(A305="","",IF(AND(AND('控制台'!B4&lt;&gt;"",'控制台'!B5&lt;&gt;"",'控制台'!B4='刷新信息'!B6,'控制台'!B5='刷新信息'!B8),A305='控制台'!B4,B305='控制台'!B5,OR(C305="应收",C305="应付"),COUNTIFS('往来余额'!A5:A6000,C305,'往来余额'!B5:B6000,D305)=1,E305&lt;&gt;"",COUNTIFS(A$5:A$504,A305,B$5:B$504,B305,C$5:C$504,C305,D$5:D$504,D305,E$5:E$504,E305)=1,ISNUMBER(F305),I305&gt;=0,ISNUMBER(H305),H305&gt;=0),"纳入","待核实"))</f>
        <v/>
      </c>
    </row>
    <row r="306">
      <c r="A306" s="13" t="n"/>
      <c r="B306" s="13" t="n"/>
      <c r="C306" s="13" t="n"/>
      <c r="D306" s="13" t="n"/>
      <c r="E306" s="13" t="n"/>
      <c r="F306" s="19" t="n"/>
      <c r="G306" s="19" t="n"/>
      <c r="H306" s="15" t="n"/>
      <c r="I306">
        <f>IF(OR(A306&lt;&gt; '控制台'!B4,B306&lt;&gt; '控制台'!B5,F306=""),"",DATE(VALUE(LEFT('控制台'!B5,4)),VALUE(RIGHT('控制台'!B5,2))+1,1)-1-F306)</f>
        <v/>
      </c>
      <c r="J306">
        <f>IF(OR(A306&lt;&gt; '控制台'!B4,B306&lt;&gt; '控制台'!B5,G306=""),"",MAX(0,DATE(VALUE(LEFT('控制台'!B5,4)),VALUE(RIGHT('控制台'!B5,2))+1,1)-1-G306))</f>
        <v/>
      </c>
      <c r="K306">
        <f>IF(A306="","",IF(AND(AND('控制台'!B4&lt;&gt;"",'控制台'!B5&lt;&gt;"",'控制台'!B4='刷新信息'!B6,'控制台'!B5='刷新信息'!B8),A306='控制台'!B4,B306='控制台'!B5,OR(C306="应收",C306="应付"),COUNTIFS('往来余额'!A5:A6000,C306,'往来余额'!B5:B6000,D306)=1,E306&lt;&gt;"",COUNTIFS(A$5:A$504,A306,B$5:B$504,B306,C$5:C$504,C306,D$5:D$504,D306,E$5:E$504,E306)=1,ISNUMBER(F306),I306&gt;=0,ISNUMBER(H306),H306&gt;=0),"纳入","待核实"))</f>
        <v/>
      </c>
    </row>
    <row r="307">
      <c r="A307" s="13" t="n"/>
      <c r="B307" s="13" t="n"/>
      <c r="C307" s="13" t="n"/>
      <c r="D307" s="13" t="n"/>
      <c r="E307" s="13" t="n"/>
      <c r="F307" s="19" t="n"/>
      <c r="G307" s="19" t="n"/>
      <c r="H307" s="15" t="n"/>
      <c r="I307">
        <f>IF(OR(A307&lt;&gt; '控制台'!B4,B307&lt;&gt; '控制台'!B5,F307=""),"",DATE(VALUE(LEFT('控制台'!B5,4)),VALUE(RIGHT('控制台'!B5,2))+1,1)-1-F307)</f>
        <v/>
      </c>
      <c r="J307">
        <f>IF(OR(A307&lt;&gt; '控制台'!B4,B307&lt;&gt; '控制台'!B5,G307=""),"",MAX(0,DATE(VALUE(LEFT('控制台'!B5,4)),VALUE(RIGHT('控制台'!B5,2))+1,1)-1-G307))</f>
        <v/>
      </c>
      <c r="K307">
        <f>IF(A307="","",IF(AND(AND('控制台'!B4&lt;&gt;"",'控制台'!B5&lt;&gt;"",'控制台'!B4='刷新信息'!B6,'控制台'!B5='刷新信息'!B8),A307='控制台'!B4,B307='控制台'!B5,OR(C307="应收",C307="应付"),COUNTIFS('往来余额'!A5:A6000,C307,'往来余额'!B5:B6000,D307)=1,E307&lt;&gt;"",COUNTIFS(A$5:A$504,A307,B$5:B$504,B307,C$5:C$504,C307,D$5:D$504,D307,E$5:E$504,E307)=1,ISNUMBER(F307),I307&gt;=0,ISNUMBER(H307),H307&gt;=0),"纳入","待核实"))</f>
        <v/>
      </c>
    </row>
    <row r="308">
      <c r="A308" s="13" t="n"/>
      <c r="B308" s="13" t="n"/>
      <c r="C308" s="13" t="n"/>
      <c r="D308" s="13" t="n"/>
      <c r="E308" s="13" t="n"/>
      <c r="F308" s="19" t="n"/>
      <c r="G308" s="19" t="n"/>
      <c r="H308" s="15" t="n"/>
      <c r="I308">
        <f>IF(OR(A308&lt;&gt; '控制台'!B4,B308&lt;&gt; '控制台'!B5,F308=""),"",DATE(VALUE(LEFT('控制台'!B5,4)),VALUE(RIGHT('控制台'!B5,2))+1,1)-1-F308)</f>
        <v/>
      </c>
      <c r="J308">
        <f>IF(OR(A308&lt;&gt; '控制台'!B4,B308&lt;&gt; '控制台'!B5,G308=""),"",MAX(0,DATE(VALUE(LEFT('控制台'!B5,4)),VALUE(RIGHT('控制台'!B5,2))+1,1)-1-G308))</f>
        <v/>
      </c>
      <c r="K308">
        <f>IF(A308="","",IF(AND(AND('控制台'!B4&lt;&gt;"",'控制台'!B5&lt;&gt;"",'控制台'!B4='刷新信息'!B6,'控制台'!B5='刷新信息'!B8),A308='控制台'!B4,B308='控制台'!B5,OR(C308="应收",C308="应付"),COUNTIFS('往来余额'!A5:A6000,C308,'往来余额'!B5:B6000,D308)=1,E308&lt;&gt;"",COUNTIFS(A$5:A$504,A308,B$5:B$504,B308,C$5:C$504,C308,D$5:D$504,D308,E$5:E$504,E308)=1,ISNUMBER(F308),I308&gt;=0,ISNUMBER(H308),H308&gt;=0),"纳入","待核实"))</f>
        <v/>
      </c>
    </row>
    <row r="309">
      <c r="A309" s="13" t="n"/>
      <c r="B309" s="13" t="n"/>
      <c r="C309" s="13" t="n"/>
      <c r="D309" s="13" t="n"/>
      <c r="E309" s="13" t="n"/>
      <c r="F309" s="19" t="n"/>
      <c r="G309" s="19" t="n"/>
      <c r="H309" s="15" t="n"/>
      <c r="I309">
        <f>IF(OR(A309&lt;&gt; '控制台'!B4,B309&lt;&gt; '控制台'!B5,F309=""),"",DATE(VALUE(LEFT('控制台'!B5,4)),VALUE(RIGHT('控制台'!B5,2))+1,1)-1-F309)</f>
        <v/>
      </c>
      <c r="J309">
        <f>IF(OR(A309&lt;&gt; '控制台'!B4,B309&lt;&gt; '控制台'!B5,G309=""),"",MAX(0,DATE(VALUE(LEFT('控制台'!B5,4)),VALUE(RIGHT('控制台'!B5,2))+1,1)-1-G309))</f>
        <v/>
      </c>
      <c r="K309">
        <f>IF(A309="","",IF(AND(AND('控制台'!B4&lt;&gt;"",'控制台'!B5&lt;&gt;"",'控制台'!B4='刷新信息'!B6,'控制台'!B5='刷新信息'!B8),A309='控制台'!B4,B309='控制台'!B5,OR(C309="应收",C309="应付"),COUNTIFS('往来余额'!A5:A6000,C309,'往来余额'!B5:B6000,D309)=1,E309&lt;&gt;"",COUNTIFS(A$5:A$504,A309,B$5:B$504,B309,C$5:C$504,C309,D$5:D$504,D309,E$5:E$504,E309)=1,ISNUMBER(F309),I309&gt;=0,ISNUMBER(H309),H309&gt;=0),"纳入","待核实"))</f>
        <v/>
      </c>
    </row>
    <row r="310">
      <c r="A310" s="13" t="n"/>
      <c r="B310" s="13" t="n"/>
      <c r="C310" s="13" t="n"/>
      <c r="D310" s="13" t="n"/>
      <c r="E310" s="13" t="n"/>
      <c r="F310" s="19" t="n"/>
      <c r="G310" s="19" t="n"/>
      <c r="H310" s="15" t="n"/>
      <c r="I310">
        <f>IF(OR(A310&lt;&gt; '控制台'!B4,B310&lt;&gt; '控制台'!B5,F310=""),"",DATE(VALUE(LEFT('控制台'!B5,4)),VALUE(RIGHT('控制台'!B5,2))+1,1)-1-F310)</f>
        <v/>
      </c>
      <c r="J310">
        <f>IF(OR(A310&lt;&gt; '控制台'!B4,B310&lt;&gt; '控制台'!B5,G310=""),"",MAX(0,DATE(VALUE(LEFT('控制台'!B5,4)),VALUE(RIGHT('控制台'!B5,2))+1,1)-1-G310))</f>
        <v/>
      </c>
      <c r="K310">
        <f>IF(A310="","",IF(AND(AND('控制台'!B4&lt;&gt;"",'控制台'!B5&lt;&gt;"",'控制台'!B4='刷新信息'!B6,'控制台'!B5='刷新信息'!B8),A310='控制台'!B4,B310='控制台'!B5,OR(C310="应收",C310="应付"),COUNTIFS('往来余额'!A5:A6000,C310,'往来余额'!B5:B6000,D310)=1,E310&lt;&gt;"",COUNTIFS(A$5:A$504,A310,B$5:B$504,B310,C$5:C$504,C310,D$5:D$504,D310,E$5:E$504,E310)=1,ISNUMBER(F310),I310&gt;=0,ISNUMBER(H310),H310&gt;=0),"纳入","待核实"))</f>
        <v/>
      </c>
    </row>
    <row r="311">
      <c r="A311" s="13" t="n"/>
      <c r="B311" s="13" t="n"/>
      <c r="C311" s="13" t="n"/>
      <c r="D311" s="13" t="n"/>
      <c r="E311" s="13" t="n"/>
      <c r="F311" s="19" t="n"/>
      <c r="G311" s="19" t="n"/>
      <c r="H311" s="15" t="n"/>
      <c r="I311">
        <f>IF(OR(A311&lt;&gt; '控制台'!B4,B311&lt;&gt; '控制台'!B5,F311=""),"",DATE(VALUE(LEFT('控制台'!B5,4)),VALUE(RIGHT('控制台'!B5,2))+1,1)-1-F311)</f>
        <v/>
      </c>
      <c r="J311">
        <f>IF(OR(A311&lt;&gt; '控制台'!B4,B311&lt;&gt; '控制台'!B5,G311=""),"",MAX(0,DATE(VALUE(LEFT('控制台'!B5,4)),VALUE(RIGHT('控制台'!B5,2))+1,1)-1-G311))</f>
        <v/>
      </c>
      <c r="K311">
        <f>IF(A311="","",IF(AND(AND('控制台'!B4&lt;&gt;"",'控制台'!B5&lt;&gt;"",'控制台'!B4='刷新信息'!B6,'控制台'!B5='刷新信息'!B8),A311='控制台'!B4,B311='控制台'!B5,OR(C311="应收",C311="应付"),COUNTIFS('往来余额'!A5:A6000,C311,'往来余额'!B5:B6000,D311)=1,E311&lt;&gt;"",COUNTIFS(A$5:A$504,A311,B$5:B$504,B311,C$5:C$504,C311,D$5:D$504,D311,E$5:E$504,E311)=1,ISNUMBER(F311),I311&gt;=0,ISNUMBER(H311),H311&gt;=0),"纳入","待核实"))</f>
        <v/>
      </c>
    </row>
    <row r="312">
      <c r="A312" s="13" t="n"/>
      <c r="B312" s="13" t="n"/>
      <c r="C312" s="13" t="n"/>
      <c r="D312" s="13" t="n"/>
      <c r="E312" s="13" t="n"/>
      <c r="F312" s="19" t="n"/>
      <c r="G312" s="19" t="n"/>
      <c r="H312" s="15" t="n"/>
      <c r="I312">
        <f>IF(OR(A312&lt;&gt; '控制台'!B4,B312&lt;&gt; '控制台'!B5,F312=""),"",DATE(VALUE(LEFT('控制台'!B5,4)),VALUE(RIGHT('控制台'!B5,2))+1,1)-1-F312)</f>
        <v/>
      </c>
      <c r="J312">
        <f>IF(OR(A312&lt;&gt; '控制台'!B4,B312&lt;&gt; '控制台'!B5,G312=""),"",MAX(0,DATE(VALUE(LEFT('控制台'!B5,4)),VALUE(RIGHT('控制台'!B5,2))+1,1)-1-G312))</f>
        <v/>
      </c>
      <c r="K312">
        <f>IF(A312="","",IF(AND(AND('控制台'!B4&lt;&gt;"",'控制台'!B5&lt;&gt;"",'控制台'!B4='刷新信息'!B6,'控制台'!B5='刷新信息'!B8),A312='控制台'!B4,B312='控制台'!B5,OR(C312="应收",C312="应付"),COUNTIFS('往来余额'!A5:A6000,C312,'往来余额'!B5:B6000,D312)=1,E312&lt;&gt;"",COUNTIFS(A$5:A$504,A312,B$5:B$504,B312,C$5:C$504,C312,D$5:D$504,D312,E$5:E$504,E312)=1,ISNUMBER(F312),I312&gt;=0,ISNUMBER(H312),H312&gt;=0),"纳入","待核实"))</f>
        <v/>
      </c>
    </row>
    <row r="313">
      <c r="A313" s="13" t="n"/>
      <c r="B313" s="13" t="n"/>
      <c r="C313" s="13" t="n"/>
      <c r="D313" s="13" t="n"/>
      <c r="E313" s="13" t="n"/>
      <c r="F313" s="19" t="n"/>
      <c r="G313" s="19" t="n"/>
      <c r="H313" s="15" t="n"/>
      <c r="I313">
        <f>IF(OR(A313&lt;&gt; '控制台'!B4,B313&lt;&gt; '控制台'!B5,F313=""),"",DATE(VALUE(LEFT('控制台'!B5,4)),VALUE(RIGHT('控制台'!B5,2))+1,1)-1-F313)</f>
        <v/>
      </c>
      <c r="J313">
        <f>IF(OR(A313&lt;&gt; '控制台'!B4,B313&lt;&gt; '控制台'!B5,G313=""),"",MAX(0,DATE(VALUE(LEFT('控制台'!B5,4)),VALUE(RIGHT('控制台'!B5,2))+1,1)-1-G313))</f>
        <v/>
      </c>
      <c r="K313">
        <f>IF(A313="","",IF(AND(AND('控制台'!B4&lt;&gt;"",'控制台'!B5&lt;&gt;"",'控制台'!B4='刷新信息'!B6,'控制台'!B5='刷新信息'!B8),A313='控制台'!B4,B313='控制台'!B5,OR(C313="应收",C313="应付"),COUNTIFS('往来余额'!A5:A6000,C313,'往来余额'!B5:B6000,D313)=1,E313&lt;&gt;"",COUNTIFS(A$5:A$504,A313,B$5:B$504,B313,C$5:C$504,C313,D$5:D$504,D313,E$5:E$504,E313)=1,ISNUMBER(F313),I313&gt;=0,ISNUMBER(H313),H313&gt;=0),"纳入","待核实"))</f>
        <v/>
      </c>
    </row>
    <row r="314">
      <c r="A314" s="13" t="n"/>
      <c r="B314" s="13" t="n"/>
      <c r="C314" s="13" t="n"/>
      <c r="D314" s="13" t="n"/>
      <c r="E314" s="13" t="n"/>
      <c r="F314" s="19" t="n"/>
      <c r="G314" s="19" t="n"/>
      <c r="H314" s="15" t="n"/>
      <c r="I314">
        <f>IF(OR(A314&lt;&gt; '控制台'!B4,B314&lt;&gt; '控制台'!B5,F314=""),"",DATE(VALUE(LEFT('控制台'!B5,4)),VALUE(RIGHT('控制台'!B5,2))+1,1)-1-F314)</f>
        <v/>
      </c>
      <c r="J314">
        <f>IF(OR(A314&lt;&gt; '控制台'!B4,B314&lt;&gt; '控制台'!B5,G314=""),"",MAX(0,DATE(VALUE(LEFT('控制台'!B5,4)),VALUE(RIGHT('控制台'!B5,2))+1,1)-1-G314))</f>
        <v/>
      </c>
      <c r="K314">
        <f>IF(A314="","",IF(AND(AND('控制台'!B4&lt;&gt;"",'控制台'!B5&lt;&gt;"",'控制台'!B4='刷新信息'!B6,'控制台'!B5='刷新信息'!B8),A314='控制台'!B4,B314='控制台'!B5,OR(C314="应收",C314="应付"),COUNTIFS('往来余额'!A5:A6000,C314,'往来余额'!B5:B6000,D314)=1,E314&lt;&gt;"",COUNTIFS(A$5:A$504,A314,B$5:B$504,B314,C$5:C$504,C314,D$5:D$504,D314,E$5:E$504,E314)=1,ISNUMBER(F314),I314&gt;=0,ISNUMBER(H314),H314&gt;=0),"纳入","待核实"))</f>
        <v/>
      </c>
    </row>
    <row r="315">
      <c r="A315" s="13" t="n"/>
      <c r="B315" s="13" t="n"/>
      <c r="C315" s="13" t="n"/>
      <c r="D315" s="13" t="n"/>
      <c r="E315" s="13" t="n"/>
      <c r="F315" s="19" t="n"/>
      <c r="G315" s="19" t="n"/>
      <c r="H315" s="15" t="n"/>
      <c r="I315">
        <f>IF(OR(A315&lt;&gt; '控制台'!B4,B315&lt;&gt; '控制台'!B5,F315=""),"",DATE(VALUE(LEFT('控制台'!B5,4)),VALUE(RIGHT('控制台'!B5,2))+1,1)-1-F315)</f>
        <v/>
      </c>
      <c r="J315">
        <f>IF(OR(A315&lt;&gt; '控制台'!B4,B315&lt;&gt; '控制台'!B5,G315=""),"",MAX(0,DATE(VALUE(LEFT('控制台'!B5,4)),VALUE(RIGHT('控制台'!B5,2))+1,1)-1-G315))</f>
        <v/>
      </c>
      <c r="K315">
        <f>IF(A315="","",IF(AND(AND('控制台'!B4&lt;&gt;"",'控制台'!B5&lt;&gt;"",'控制台'!B4='刷新信息'!B6,'控制台'!B5='刷新信息'!B8),A315='控制台'!B4,B315='控制台'!B5,OR(C315="应收",C315="应付"),COUNTIFS('往来余额'!A5:A6000,C315,'往来余额'!B5:B6000,D315)=1,E315&lt;&gt;"",COUNTIFS(A$5:A$504,A315,B$5:B$504,B315,C$5:C$504,C315,D$5:D$504,D315,E$5:E$504,E315)=1,ISNUMBER(F315),I315&gt;=0,ISNUMBER(H315),H315&gt;=0),"纳入","待核实"))</f>
        <v/>
      </c>
    </row>
    <row r="316">
      <c r="A316" s="13" t="n"/>
      <c r="B316" s="13" t="n"/>
      <c r="C316" s="13" t="n"/>
      <c r="D316" s="13" t="n"/>
      <c r="E316" s="13" t="n"/>
      <c r="F316" s="19" t="n"/>
      <c r="G316" s="19" t="n"/>
      <c r="H316" s="15" t="n"/>
      <c r="I316">
        <f>IF(OR(A316&lt;&gt; '控制台'!B4,B316&lt;&gt; '控制台'!B5,F316=""),"",DATE(VALUE(LEFT('控制台'!B5,4)),VALUE(RIGHT('控制台'!B5,2))+1,1)-1-F316)</f>
        <v/>
      </c>
      <c r="J316">
        <f>IF(OR(A316&lt;&gt; '控制台'!B4,B316&lt;&gt; '控制台'!B5,G316=""),"",MAX(0,DATE(VALUE(LEFT('控制台'!B5,4)),VALUE(RIGHT('控制台'!B5,2))+1,1)-1-G316))</f>
        <v/>
      </c>
      <c r="K316">
        <f>IF(A316="","",IF(AND(AND('控制台'!B4&lt;&gt;"",'控制台'!B5&lt;&gt;"",'控制台'!B4='刷新信息'!B6,'控制台'!B5='刷新信息'!B8),A316='控制台'!B4,B316='控制台'!B5,OR(C316="应收",C316="应付"),COUNTIFS('往来余额'!A5:A6000,C316,'往来余额'!B5:B6000,D316)=1,E316&lt;&gt;"",COUNTIFS(A$5:A$504,A316,B$5:B$504,B316,C$5:C$504,C316,D$5:D$504,D316,E$5:E$504,E316)=1,ISNUMBER(F316),I316&gt;=0,ISNUMBER(H316),H316&gt;=0),"纳入","待核实"))</f>
        <v/>
      </c>
    </row>
    <row r="317">
      <c r="A317" s="13" t="n"/>
      <c r="B317" s="13" t="n"/>
      <c r="C317" s="13" t="n"/>
      <c r="D317" s="13" t="n"/>
      <c r="E317" s="13" t="n"/>
      <c r="F317" s="19" t="n"/>
      <c r="G317" s="19" t="n"/>
      <c r="H317" s="15" t="n"/>
      <c r="I317">
        <f>IF(OR(A317&lt;&gt; '控制台'!B4,B317&lt;&gt; '控制台'!B5,F317=""),"",DATE(VALUE(LEFT('控制台'!B5,4)),VALUE(RIGHT('控制台'!B5,2))+1,1)-1-F317)</f>
        <v/>
      </c>
      <c r="J317">
        <f>IF(OR(A317&lt;&gt; '控制台'!B4,B317&lt;&gt; '控制台'!B5,G317=""),"",MAX(0,DATE(VALUE(LEFT('控制台'!B5,4)),VALUE(RIGHT('控制台'!B5,2))+1,1)-1-G317))</f>
        <v/>
      </c>
      <c r="K317">
        <f>IF(A317="","",IF(AND(AND('控制台'!B4&lt;&gt;"",'控制台'!B5&lt;&gt;"",'控制台'!B4='刷新信息'!B6,'控制台'!B5='刷新信息'!B8),A317='控制台'!B4,B317='控制台'!B5,OR(C317="应收",C317="应付"),COUNTIFS('往来余额'!A5:A6000,C317,'往来余额'!B5:B6000,D317)=1,E317&lt;&gt;"",COUNTIFS(A$5:A$504,A317,B$5:B$504,B317,C$5:C$504,C317,D$5:D$504,D317,E$5:E$504,E317)=1,ISNUMBER(F317),I317&gt;=0,ISNUMBER(H317),H317&gt;=0),"纳入","待核实"))</f>
        <v/>
      </c>
    </row>
    <row r="318">
      <c r="A318" s="13" t="n"/>
      <c r="B318" s="13" t="n"/>
      <c r="C318" s="13" t="n"/>
      <c r="D318" s="13" t="n"/>
      <c r="E318" s="13" t="n"/>
      <c r="F318" s="19" t="n"/>
      <c r="G318" s="19" t="n"/>
      <c r="H318" s="15" t="n"/>
      <c r="I318">
        <f>IF(OR(A318&lt;&gt; '控制台'!B4,B318&lt;&gt; '控制台'!B5,F318=""),"",DATE(VALUE(LEFT('控制台'!B5,4)),VALUE(RIGHT('控制台'!B5,2))+1,1)-1-F318)</f>
        <v/>
      </c>
      <c r="J318">
        <f>IF(OR(A318&lt;&gt; '控制台'!B4,B318&lt;&gt; '控制台'!B5,G318=""),"",MAX(0,DATE(VALUE(LEFT('控制台'!B5,4)),VALUE(RIGHT('控制台'!B5,2))+1,1)-1-G318))</f>
        <v/>
      </c>
      <c r="K318">
        <f>IF(A318="","",IF(AND(AND('控制台'!B4&lt;&gt;"",'控制台'!B5&lt;&gt;"",'控制台'!B4='刷新信息'!B6,'控制台'!B5='刷新信息'!B8),A318='控制台'!B4,B318='控制台'!B5,OR(C318="应收",C318="应付"),COUNTIFS('往来余额'!A5:A6000,C318,'往来余额'!B5:B6000,D318)=1,E318&lt;&gt;"",COUNTIFS(A$5:A$504,A318,B$5:B$504,B318,C$5:C$504,C318,D$5:D$504,D318,E$5:E$504,E318)=1,ISNUMBER(F318),I318&gt;=0,ISNUMBER(H318),H318&gt;=0),"纳入","待核实"))</f>
        <v/>
      </c>
    </row>
    <row r="319">
      <c r="A319" s="13" t="n"/>
      <c r="B319" s="13" t="n"/>
      <c r="C319" s="13" t="n"/>
      <c r="D319" s="13" t="n"/>
      <c r="E319" s="13" t="n"/>
      <c r="F319" s="19" t="n"/>
      <c r="G319" s="19" t="n"/>
      <c r="H319" s="15" t="n"/>
      <c r="I319">
        <f>IF(OR(A319&lt;&gt; '控制台'!B4,B319&lt;&gt; '控制台'!B5,F319=""),"",DATE(VALUE(LEFT('控制台'!B5,4)),VALUE(RIGHT('控制台'!B5,2))+1,1)-1-F319)</f>
        <v/>
      </c>
      <c r="J319">
        <f>IF(OR(A319&lt;&gt; '控制台'!B4,B319&lt;&gt; '控制台'!B5,G319=""),"",MAX(0,DATE(VALUE(LEFT('控制台'!B5,4)),VALUE(RIGHT('控制台'!B5,2))+1,1)-1-G319))</f>
        <v/>
      </c>
      <c r="K319">
        <f>IF(A319="","",IF(AND(AND('控制台'!B4&lt;&gt;"",'控制台'!B5&lt;&gt;"",'控制台'!B4='刷新信息'!B6,'控制台'!B5='刷新信息'!B8),A319='控制台'!B4,B319='控制台'!B5,OR(C319="应收",C319="应付"),COUNTIFS('往来余额'!A5:A6000,C319,'往来余额'!B5:B6000,D319)=1,E319&lt;&gt;"",COUNTIFS(A$5:A$504,A319,B$5:B$504,B319,C$5:C$504,C319,D$5:D$504,D319,E$5:E$504,E319)=1,ISNUMBER(F319),I319&gt;=0,ISNUMBER(H319),H319&gt;=0),"纳入","待核实"))</f>
        <v/>
      </c>
    </row>
    <row r="320">
      <c r="A320" s="13" t="n"/>
      <c r="B320" s="13" t="n"/>
      <c r="C320" s="13" t="n"/>
      <c r="D320" s="13" t="n"/>
      <c r="E320" s="13" t="n"/>
      <c r="F320" s="19" t="n"/>
      <c r="G320" s="19" t="n"/>
      <c r="H320" s="15" t="n"/>
      <c r="I320">
        <f>IF(OR(A320&lt;&gt; '控制台'!B4,B320&lt;&gt; '控制台'!B5,F320=""),"",DATE(VALUE(LEFT('控制台'!B5,4)),VALUE(RIGHT('控制台'!B5,2))+1,1)-1-F320)</f>
        <v/>
      </c>
      <c r="J320">
        <f>IF(OR(A320&lt;&gt; '控制台'!B4,B320&lt;&gt; '控制台'!B5,G320=""),"",MAX(0,DATE(VALUE(LEFT('控制台'!B5,4)),VALUE(RIGHT('控制台'!B5,2))+1,1)-1-G320))</f>
        <v/>
      </c>
      <c r="K320">
        <f>IF(A320="","",IF(AND(AND('控制台'!B4&lt;&gt;"",'控制台'!B5&lt;&gt;"",'控制台'!B4='刷新信息'!B6,'控制台'!B5='刷新信息'!B8),A320='控制台'!B4,B320='控制台'!B5,OR(C320="应收",C320="应付"),COUNTIFS('往来余额'!A5:A6000,C320,'往来余额'!B5:B6000,D320)=1,E320&lt;&gt;"",COUNTIFS(A$5:A$504,A320,B$5:B$504,B320,C$5:C$504,C320,D$5:D$504,D320,E$5:E$504,E320)=1,ISNUMBER(F320),I320&gt;=0,ISNUMBER(H320),H320&gt;=0),"纳入","待核实"))</f>
        <v/>
      </c>
    </row>
    <row r="321">
      <c r="A321" s="13" t="n"/>
      <c r="B321" s="13" t="n"/>
      <c r="C321" s="13" t="n"/>
      <c r="D321" s="13" t="n"/>
      <c r="E321" s="13" t="n"/>
      <c r="F321" s="19" t="n"/>
      <c r="G321" s="19" t="n"/>
      <c r="H321" s="15" t="n"/>
      <c r="I321">
        <f>IF(OR(A321&lt;&gt; '控制台'!B4,B321&lt;&gt; '控制台'!B5,F321=""),"",DATE(VALUE(LEFT('控制台'!B5,4)),VALUE(RIGHT('控制台'!B5,2))+1,1)-1-F321)</f>
        <v/>
      </c>
      <c r="J321">
        <f>IF(OR(A321&lt;&gt; '控制台'!B4,B321&lt;&gt; '控制台'!B5,G321=""),"",MAX(0,DATE(VALUE(LEFT('控制台'!B5,4)),VALUE(RIGHT('控制台'!B5,2))+1,1)-1-G321))</f>
        <v/>
      </c>
      <c r="K321">
        <f>IF(A321="","",IF(AND(AND('控制台'!B4&lt;&gt;"",'控制台'!B5&lt;&gt;"",'控制台'!B4='刷新信息'!B6,'控制台'!B5='刷新信息'!B8),A321='控制台'!B4,B321='控制台'!B5,OR(C321="应收",C321="应付"),COUNTIFS('往来余额'!A5:A6000,C321,'往来余额'!B5:B6000,D321)=1,E321&lt;&gt;"",COUNTIFS(A$5:A$504,A321,B$5:B$504,B321,C$5:C$504,C321,D$5:D$504,D321,E$5:E$504,E321)=1,ISNUMBER(F321),I321&gt;=0,ISNUMBER(H321),H321&gt;=0),"纳入","待核实"))</f>
        <v/>
      </c>
    </row>
    <row r="322">
      <c r="A322" s="13" t="n"/>
      <c r="B322" s="13" t="n"/>
      <c r="C322" s="13" t="n"/>
      <c r="D322" s="13" t="n"/>
      <c r="E322" s="13" t="n"/>
      <c r="F322" s="19" t="n"/>
      <c r="G322" s="19" t="n"/>
      <c r="H322" s="15" t="n"/>
      <c r="I322">
        <f>IF(OR(A322&lt;&gt; '控制台'!B4,B322&lt;&gt; '控制台'!B5,F322=""),"",DATE(VALUE(LEFT('控制台'!B5,4)),VALUE(RIGHT('控制台'!B5,2))+1,1)-1-F322)</f>
        <v/>
      </c>
      <c r="J322">
        <f>IF(OR(A322&lt;&gt; '控制台'!B4,B322&lt;&gt; '控制台'!B5,G322=""),"",MAX(0,DATE(VALUE(LEFT('控制台'!B5,4)),VALUE(RIGHT('控制台'!B5,2))+1,1)-1-G322))</f>
        <v/>
      </c>
      <c r="K322">
        <f>IF(A322="","",IF(AND(AND('控制台'!B4&lt;&gt;"",'控制台'!B5&lt;&gt;"",'控制台'!B4='刷新信息'!B6,'控制台'!B5='刷新信息'!B8),A322='控制台'!B4,B322='控制台'!B5,OR(C322="应收",C322="应付"),COUNTIFS('往来余额'!A5:A6000,C322,'往来余额'!B5:B6000,D322)=1,E322&lt;&gt;"",COUNTIFS(A$5:A$504,A322,B$5:B$504,B322,C$5:C$504,C322,D$5:D$504,D322,E$5:E$504,E322)=1,ISNUMBER(F322),I322&gt;=0,ISNUMBER(H322),H322&gt;=0),"纳入","待核实"))</f>
        <v/>
      </c>
    </row>
    <row r="323">
      <c r="A323" s="13" t="n"/>
      <c r="B323" s="13" t="n"/>
      <c r="C323" s="13" t="n"/>
      <c r="D323" s="13" t="n"/>
      <c r="E323" s="13" t="n"/>
      <c r="F323" s="19" t="n"/>
      <c r="G323" s="19" t="n"/>
      <c r="H323" s="15" t="n"/>
      <c r="I323">
        <f>IF(OR(A323&lt;&gt; '控制台'!B4,B323&lt;&gt; '控制台'!B5,F323=""),"",DATE(VALUE(LEFT('控制台'!B5,4)),VALUE(RIGHT('控制台'!B5,2))+1,1)-1-F323)</f>
        <v/>
      </c>
      <c r="J323">
        <f>IF(OR(A323&lt;&gt; '控制台'!B4,B323&lt;&gt; '控制台'!B5,G323=""),"",MAX(0,DATE(VALUE(LEFT('控制台'!B5,4)),VALUE(RIGHT('控制台'!B5,2))+1,1)-1-G323))</f>
        <v/>
      </c>
      <c r="K323">
        <f>IF(A323="","",IF(AND(AND('控制台'!B4&lt;&gt;"",'控制台'!B5&lt;&gt;"",'控制台'!B4='刷新信息'!B6,'控制台'!B5='刷新信息'!B8),A323='控制台'!B4,B323='控制台'!B5,OR(C323="应收",C323="应付"),COUNTIFS('往来余额'!A5:A6000,C323,'往来余额'!B5:B6000,D323)=1,E323&lt;&gt;"",COUNTIFS(A$5:A$504,A323,B$5:B$504,B323,C$5:C$504,C323,D$5:D$504,D323,E$5:E$504,E323)=1,ISNUMBER(F323),I323&gt;=0,ISNUMBER(H323),H323&gt;=0),"纳入","待核实"))</f>
        <v/>
      </c>
    </row>
    <row r="324">
      <c r="A324" s="13" t="n"/>
      <c r="B324" s="13" t="n"/>
      <c r="C324" s="13" t="n"/>
      <c r="D324" s="13" t="n"/>
      <c r="E324" s="13" t="n"/>
      <c r="F324" s="19" t="n"/>
      <c r="G324" s="19" t="n"/>
      <c r="H324" s="15" t="n"/>
      <c r="I324">
        <f>IF(OR(A324&lt;&gt; '控制台'!B4,B324&lt;&gt; '控制台'!B5,F324=""),"",DATE(VALUE(LEFT('控制台'!B5,4)),VALUE(RIGHT('控制台'!B5,2))+1,1)-1-F324)</f>
        <v/>
      </c>
      <c r="J324">
        <f>IF(OR(A324&lt;&gt; '控制台'!B4,B324&lt;&gt; '控制台'!B5,G324=""),"",MAX(0,DATE(VALUE(LEFT('控制台'!B5,4)),VALUE(RIGHT('控制台'!B5,2))+1,1)-1-G324))</f>
        <v/>
      </c>
      <c r="K324">
        <f>IF(A324="","",IF(AND(AND('控制台'!B4&lt;&gt;"",'控制台'!B5&lt;&gt;"",'控制台'!B4='刷新信息'!B6,'控制台'!B5='刷新信息'!B8),A324='控制台'!B4,B324='控制台'!B5,OR(C324="应收",C324="应付"),COUNTIFS('往来余额'!A5:A6000,C324,'往来余额'!B5:B6000,D324)=1,E324&lt;&gt;"",COUNTIFS(A$5:A$504,A324,B$5:B$504,B324,C$5:C$504,C324,D$5:D$504,D324,E$5:E$504,E324)=1,ISNUMBER(F324),I324&gt;=0,ISNUMBER(H324),H324&gt;=0),"纳入","待核实"))</f>
        <v/>
      </c>
    </row>
    <row r="325">
      <c r="A325" s="13" t="n"/>
      <c r="B325" s="13" t="n"/>
      <c r="C325" s="13" t="n"/>
      <c r="D325" s="13" t="n"/>
      <c r="E325" s="13" t="n"/>
      <c r="F325" s="19" t="n"/>
      <c r="G325" s="19" t="n"/>
      <c r="H325" s="15" t="n"/>
      <c r="I325">
        <f>IF(OR(A325&lt;&gt; '控制台'!B4,B325&lt;&gt; '控制台'!B5,F325=""),"",DATE(VALUE(LEFT('控制台'!B5,4)),VALUE(RIGHT('控制台'!B5,2))+1,1)-1-F325)</f>
        <v/>
      </c>
      <c r="J325">
        <f>IF(OR(A325&lt;&gt; '控制台'!B4,B325&lt;&gt; '控制台'!B5,G325=""),"",MAX(0,DATE(VALUE(LEFT('控制台'!B5,4)),VALUE(RIGHT('控制台'!B5,2))+1,1)-1-G325))</f>
        <v/>
      </c>
      <c r="K325">
        <f>IF(A325="","",IF(AND(AND('控制台'!B4&lt;&gt;"",'控制台'!B5&lt;&gt;"",'控制台'!B4='刷新信息'!B6,'控制台'!B5='刷新信息'!B8),A325='控制台'!B4,B325='控制台'!B5,OR(C325="应收",C325="应付"),COUNTIFS('往来余额'!A5:A6000,C325,'往来余额'!B5:B6000,D325)=1,E325&lt;&gt;"",COUNTIFS(A$5:A$504,A325,B$5:B$504,B325,C$5:C$504,C325,D$5:D$504,D325,E$5:E$504,E325)=1,ISNUMBER(F325),I325&gt;=0,ISNUMBER(H325),H325&gt;=0),"纳入","待核实"))</f>
        <v/>
      </c>
    </row>
    <row r="326">
      <c r="A326" s="13" t="n"/>
      <c r="B326" s="13" t="n"/>
      <c r="C326" s="13" t="n"/>
      <c r="D326" s="13" t="n"/>
      <c r="E326" s="13" t="n"/>
      <c r="F326" s="19" t="n"/>
      <c r="G326" s="19" t="n"/>
      <c r="H326" s="15" t="n"/>
      <c r="I326">
        <f>IF(OR(A326&lt;&gt; '控制台'!B4,B326&lt;&gt; '控制台'!B5,F326=""),"",DATE(VALUE(LEFT('控制台'!B5,4)),VALUE(RIGHT('控制台'!B5,2))+1,1)-1-F326)</f>
        <v/>
      </c>
      <c r="J326">
        <f>IF(OR(A326&lt;&gt; '控制台'!B4,B326&lt;&gt; '控制台'!B5,G326=""),"",MAX(0,DATE(VALUE(LEFT('控制台'!B5,4)),VALUE(RIGHT('控制台'!B5,2))+1,1)-1-G326))</f>
        <v/>
      </c>
      <c r="K326">
        <f>IF(A326="","",IF(AND(AND('控制台'!B4&lt;&gt;"",'控制台'!B5&lt;&gt;"",'控制台'!B4='刷新信息'!B6,'控制台'!B5='刷新信息'!B8),A326='控制台'!B4,B326='控制台'!B5,OR(C326="应收",C326="应付"),COUNTIFS('往来余额'!A5:A6000,C326,'往来余额'!B5:B6000,D326)=1,E326&lt;&gt;"",COUNTIFS(A$5:A$504,A326,B$5:B$504,B326,C$5:C$504,C326,D$5:D$504,D326,E$5:E$504,E326)=1,ISNUMBER(F326),I326&gt;=0,ISNUMBER(H326),H326&gt;=0),"纳入","待核实"))</f>
        <v/>
      </c>
    </row>
    <row r="327">
      <c r="A327" s="13" t="n"/>
      <c r="B327" s="13" t="n"/>
      <c r="C327" s="13" t="n"/>
      <c r="D327" s="13" t="n"/>
      <c r="E327" s="13" t="n"/>
      <c r="F327" s="19" t="n"/>
      <c r="G327" s="19" t="n"/>
      <c r="H327" s="15" t="n"/>
      <c r="I327">
        <f>IF(OR(A327&lt;&gt; '控制台'!B4,B327&lt;&gt; '控制台'!B5,F327=""),"",DATE(VALUE(LEFT('控制台'!B5,4)),VALUE(RIGHT('控制台'!B5,2))+1,1)-1-F327)</f>
        <v/>
      </c>
      <c r="J327">
        <f>IF(OR(A327&lt;&gt; '控制台'!B4,B327&lt;&gt; '控制台'!B5,G327=""),"",MAX(0,DATE(VALUE(LEFT('控制台'!B5,4)),VALUE(RIGHT('控制台'!B5,2))+1,1)-1-G327))</f>
        <v/>
      </c>
      <c r="K327">
        <f>IF(A327="","",IF(AND(AND('控制台'!B4&lt;&gt;"",'控制台'!B5&lt;&gt;"",'控制台'!B4='刷新信息'!B6,'控制台'!B5='刷新信息'!B8),A327='控制台'!B4,B327='控制台'!B5,OR(C327="应收",C327="应付"),COUNTIFS('往来余额'!A5:A6000,C327,'往来余额'!B5:B6000,D327)=1,E327&lt;&gt;"",COUNTIFS(A$5:A$504,A327,B$5:B$504,B327,C$5:C$504,C327,D$5:D$504,D327,E$5:E$504,E327)=1,ISNUMBER(F327),I327&gt;=0,ISNUMBER(H327),H327&gt;=0),"纳入","待核实"))</f>
        <v/>
      </c>
    </row>
    <row r="328">
      <c r="A328" s="13" t="n"/>
      <c r="B328" s="13" t="n"/>
      <c r="C328" s="13" t="n"/>
      <c r="D328" s="13" t="n"/>
      <c r="E328" s="13" t="n"/>
      <c r="F328" s="19" t="n"/>
      <c r="G328" s="19" t="n"/>
      <c r="H328" s="15" t="n"/>
      <c r="I328">
        <f>IF(OR(A328&lt;&gt; '控制台'!B4,B328&lt;&gt; '控制台'!B5,F328=""),"",DATE(VALUE(LEFT('控制台'!B5,4)),VALUE(RIGHT('控制台'!B5,2))+1,1)-1-F328)</f>
        <v/>
      </c>
      <c r="J328">
        <f>IF(OR(A328&lt;&gt; '控制台'!B4,B328&lt;&gt; '控制台'!B5,G328=""),"",MAX(0,DATE(VALUE(LEFT('控制台'!B5,4)),VALUE(RIGHT('控制台'!B5,2))+1,1)-1-G328))</f>
        <v/>
      </c>
      <c r="K328">
        <f>IF(A328="","",IF(AND(AND('控制台'!B4&lt;&gt;"",'控制台'!B5&lt;&gt;"",'控制台'!B4='刷新信息'!B6,'控制台'!B5='刷新信息'!B8),A328='控制台'!B4,B328='控制台'!B5,OR(C328="应收",C328="应付"),COUNTIFS('往来余额'!A5:A6000,C328,'往来余额'!B5:B6000,D328)=1,E328&lt;&gt;"",COUNTIFS(A$5:A$504,A328,B$5:B$504,B328,C$5:C$504,C328,D$5:D$504,D328,E$5:E$504,E328)=1,ISNUMBER(F328),I328&gt;=0,ISNUMBER(H328),H328&gt;=0),"纳入","待核实"))</f>
        <v/>
      </c>
    </row>
    <row r="329">
      <c r="A329" s="13" t="n"/>
      <c r="B329" s="13" t="n"/>
      <c r="C329" s="13" t="n"/>
      <c r="D329" s="13" t="n"/>
      <c r="E329" s="13" t="n"/>
      <c r="F329" s="19" t="n"/>
      <c r="G329" s="19" t="n"/>
      <c r="H329" s="15" t="n"/>
      <c r="I329">
        <f>IF(OR(A329&lt;&gt; '控制台'!B4,B329&lt;&gt; '控制台'!B5,F329=""),"",DATE(VALUE(LEFT('控制台'!B5,4)),VALUE(RIGHT('控制台'!B5,2))+1,1)-1-F329)</f>
        <v/>
      </c>
      <c r="J329">
        <f>IF(OR(A329&lt;&gt; '控制台'!B4,B329&lt;&gt; '控制台'!B5,G329=""),"",MAX(0,DATE(VALUE(LEFT('控制台'!B5,4)),VALUE(RIGHT('控制台'!B5,2))+1,1)-1-G329))</f>
        <v/>
      </c>
      <c r="K329">
        <f>IF(A329="","",IF(AND(AND('控制台'!B4&lt;&gt;"",'控制台'!B5&lt;&gt;"",'控制台'!B4='刷新信息'!B6,'控制台'!B5='刷新信息'!B8),A329='控制台'!B4,B329='控制台'!B5,OR(C329="应收",C329="应付"),COUNTIFS('往来余额'!A5:A6000,C329,'往来余额'!B5:B6000,D329)=1,E329&lt;&gt;"",COUNTIFS(A$5:A$504,A329,B$5:B$504,B329,C$5:C$504,C329,D$5:D$504,D329,E$5:E$504,E329)=1,ISNUMBER(F329),I329&gt;=0,ISNUMBER(H329),H329&gt;=0),"纳入","待核实"))</f>
        <v/>
      </c>
    </row>
    <row r="330">
      <c r="A330" s="13" t="n"/>
      <c r="B330" s="13" t="n"/>
      <c r="C330" s="13" t="n"/>
      <c r="D330" s="13" t="n"/>
      <c r="E330" s="13" t="n"/>
      <c r="F330" s="19" t="n"/>
      <c r="G330" s="19" t="n"/>
      <c r="H330" s="15" t="n"/>
      <c r="I330">
        <f>IF(OR(A330&lt;&gt; '控制台'!B4,B330&lt;&gt; '控制台'!B5,F330=""),"",DATE(VALUE(LEFT('控制台'!B5,4)),VALUE(RIGHT('控制台'!B5,2))+1,1)-1-F330)</f>
        <v/>
      </c>
      <c r="J330">
        <f>IF(OR(A330&lt;&gt; '控制台'!B4,B330&lt;&gt; '控制台'!B5,G330=""),"",MAX(0,DATE(VALUE(LEFT('控制台'!B5,4)),VALUE(RIGHT('控制台'!B5,2))+1,1)-1-G330))</f>
        <v/>
      </c>
      <c r="K330">
        <f>IF(A330="","",IF(AND(AND('控制台'!B4&lt;&gt;"",'控制台'!B5&lt;&gt;"",'控制台'!B4='刷新信息'!B6,'控制台'!B5='刷新信息'!B8),A330='控制台'!B4,B330='控制台'!B5,OR(C330="应收",C330="应付"),COUNTIFS('往来余额'!A5:A6000,C330,'往来余额'!B5:B6000,D330)=1,E330&lt;&gt;"",COUNTIFS(A$5:A$504,A330,B$5:B$504,B330,C$5:C$504,C330,D$5:D$504,D330,E$5:E$504,E330)=1,ISNUMBER(F330),I330&gt;=0,ISNUMBER(H330),H330&gt;=0),"纳入","待核实"))</f>
        <v/>
      </c>
    </row>
    <row r="331">
      <c r="A331" s="13" t="n"/>
      <c r="B331" s="13" t="n"/>
      <c r="C331" s="13" t="n"/>
      <c r="D331" s="13" t="n"/>
      <c r="E331" s="13" t="n"/>
      <c r="F331" s="19" t="n"/>
      <c r="G331" s="19" t="n"/>
      <c r="H331" s="15" t="n"/>
      <c r="I331">
        <f>IF(OR(A331&lt;&gt; '控制台'!B4,B331&lt;&gt; '控制台'!B5,F331=""),"",DATE(VALUE(LEFT('控制台'!B5,4)),VALUE(RIGHT('控制台'!B5,2))+1,1)-1-F331)</f>
        <v/>
      </c>
      <c r="J331">
        <f>IF(OR(A331&lt;&gt; '控制台'!B4,B331&lt;&gt; '控制台'!B5,G331=""),"",MAX(0,DATE(VALUE(LEFT('控制台'!B5,4)),VALUE(RIGHT('控制台'!B5,2))+1,1)-1-G331))</f>
        <v/>
      </c>
      <c r="K331">
        <f>IF(A331="","",IF(AND(AND('控制台'!B4&lt;&gt;"",'控制台'!B5&lt;&gt;"",'控制台'!B4='刷新信息'!B6,'控制台'!B5='刷新信息'!B8),A331='控制台'!B4,B331='控制台'!B5,OR(C331="应收",C331="应付"),COUNTIFS('往来余额'!A5:A6000,C331,'往来余额'!B5:B6000,D331)=1,E331&lt;&gt;"",COUNTIFS(A$5:A$504,A331,B$5:B$504,B331,C$5:C$504,C331,D$5:D$504,D331,E$5:E$504,E331)=1,ISNUMBER(F331),I331&gt;=0,ISNUMBER(H331),H331&gt;=0),"纳入","待核实"))</f>
        <v/>
      </c>
    </row>
    <row r="332">
      <c r="A332" s="13" t="n"/>
      <c r="B332" s="13" t="n"/>
      <c r="C332" s="13" t="n"/>
      <c r="D332" s="13" t="n"/>
      <c r="E332" s="13" t="n"/>
      <c r="F332" s="19" t="n"/>
      <c r="G332" s="19" t="n"/>
      <c r="H332" s="15" t="n"/>
      <c r="I332">
        <f>IF(OR(A332&lt;&gt; '控制台'!B4,B332&lt;&gt; '控制台'!B5,F332=""),"",DATE(VALUE(LEFT('控制台'!B5,4)),VALUE(RIGHT('控制台'!B5,2))+1,1)-1-F332)</f>
        <v/>
      </c>
      <c r="J332">
        <f>IF(OR(A332&lt;&gt; '控制台'!B4,B332&lt;&gt; '控制台'!B5,G332=""),"",MAX(0,DATE(VALUE(LEFT('控制台'!B5,4)),VALUE(RIGHT('控制台'!B5,2))+1,1)-1-G332))</f>
        <v/>
      </c>
      <c r="K332">
        <f>IF(A332="","",IF(AND(AND('控制台'!B4&lt;&gt;"",'控制台'!B5&lt;&gt;"",'控制台'!B4='刷新信息'!B6,'控制台'!B5='刷新信息'!B8),A332='控制台'!B4,B332='控制台'!B5,OR(C332="应收",C332="应付"),COUNTIFS('往来余额'!A5:A6000,C332,'往来余额'!B5:B6000,D332)=1,E332&lt;&gt;"",COUNTIFS(A$5:A$504,A332,B$5:B$504,B332,C$5:C$504,C332,D$5:D$504,D332,E$5:E$504,E332)=1,ISNUMBER(F332),I332&gt;=0,ISNUMBER(H332),H332&gt;=0),"纳入","待核实"))</f>
        <v/>
      </c>
    </row>
    <row r="333">
      <c r="A333" s="13" t="n"/>
      <c r="B333" s="13" t="n"/>
      <c r="C333" s="13" t="n"/>
      <c r="D333" s="13" t="n"/>
      <c r="E333" s="13" t="n"/>
      <c r="F333" s="19" t="n"/>
      <c r="G333" s="19" t="n"/>
      <c r="H333" s="15" t="n"/>
      <c r="I333">
        <f>IF(OR(A333&lt;&gt; '控制台'!B4,B333&lt;&gt; '控制台'!B5,F333=""),"",DATE(VALUE(LEFT('控制台'!B5,4)),VALUE(RIGHT('控制台'!B5,2))+1,1)-1-F333)</f>
        <v/>
      </c>
      <c r="J333">
        <f>IF(OR(A333&lt;&gt; '控制台'!B4,B333&lt;&gt; '控制台'!B5,G333=""),"",MAX(0,DATE(VALUE(LEFT('控制台'!B5,4)),VALUE(RIGHT('控制台'!B5,2))+1,1)-1-G333))</f>
        <v/>
      </c>
      <c r="K333">
        <f>IF(A333="","",IF(AND(AND('控制台'!B4&lt;&gt;"",'控制台'!B5&lt;&gt;"",'控制台'!B4='刷新信息'!B6,'控制台'!B5='刷新信息'!B8),A333='控制台'!B4,B333='控制台'!B5,OR(C333="应收",C333="应付"),COUNTIFS('往来余额'!A5:A6000,C333,'往来余额'!B5:B6000,D333)=1,E333&lt;&gt;"",COUNTIFS(A$5:A$504,A333,B$5:B$504,B333,C$5:C$504,C333,D$5:D$504,D333,E$5:E$504,E333)=1,ISNUMBER(F333),I333&gt;=0,ISNUMBER(H333),H333&gt;=0),"纳入","待核实"))</f>
        <v/>
      </c>
    </row>
    <row r="334">
      <c r="A334" s="13" t="n"/>
      <c r="B334" s="13" t="n"/>
      <c r="C334" s="13" t="n"/>
      <c r="D334" s="13" t="n"/>
      <c r="E334" s="13" t="n"/>
      <c r="F334" s="19" t="n"/>
      <c r="G334" s="19" t="n"/>
      <c r="H334" s="15" t="n"/>
      <c r="I334">
        <f>IF(OR(A334&lt;&gt; '控制台'!B4,B334&lt;&gt; '控制台'!B5,F334=""),"",DATE(VALUE(LEFT('控制台'!B5,4)),VALUE(RIGHT('控制台'!B5,2))+1,1)-1-F334)</f>
        <v/>
      </c>
      <c r="J334">
        <f>IF(OR(A334&lt;&gt; '控制台'!B4,B334&lt;&gt; '控制台'!B5,G334=""),"",MAX(0,DATE(VALUE(LEFT('控制台'!B5,4)),VALUE(RIGHT('控制台'!B5,2))+1,1)-1-G334))</f>
        <v/>
      </c>
      <c r="K334">
        <f>IF(A334="","",IF(AND(AND('控制台'!B4&lt;&gt;"",'控制台'!B5&lt;&gt;"",'控制台'!B4='刷新信息'!B6,'控制台'!B5='刷新信息'!B8),A334='控制台'!B4,B334='控制台'!B5,OR(C334="应收",C334="应付"),COUNTIFS('往来余额'!A5:A6000,C334,'往来余额'!B5:B6000,D334)=1,E334&lt;&gt;"",COUNTIFS(A$5:A$504,A334,B$5:B$504,B334,C$5:C$504,C334,D$5:D$504,D334,E$5:E$504,E334)=1,ISNUMBER(F334),I334&gt;=0,ISNUMBER(H334),H334&gt;=0),"纳入","待核实"))</f>
        <v/>
      </c>
    </row>
    <row r="335">
      <c r="A335" s="13" t="n"/>
      <c r="B335" s="13" t="n"/>
      <c r="C335" s="13" t="n"/>
      <c r="D335" s="13" t="n"/>
      <c r="E335" s="13" t="n"/>
      <c r="F335" s="19" t="n"/>
      <c r="G335" s="19" t="n"/>
      <c r="H335" s="15" t="n"/>
      <c r="I335">
        <f>IF(OR(A335&lt;&gt; '控制台'!B4,B335&lt;&gt; '控制台'!B5,F335=""),"",DATE(VALUE(LEFT('控制台'!B5,4)),VALUE(RIGHT('控制台'!B5,2))+1,1)-1-F335)</f>
        <v/>
      </c>
      <c r="J335">
        <f>IF(OR(A335&lt;&gt; '控制台'!B4,B335&lt;&gt; '控制台'!B5,G335=""),"",MAX(0,DATE(VALUE(LEFT('控制台'!B5,4)),VALUE(RIGHT('控制台'!B5,2))+1,1)-1-G335))</f>
        <v/>
      </c>
      <c r="K335">
        <f>IF(A335="","",IF(AND(AND('控制台'!B4&lt;&gt;"",'控制台'!B5&lt;&gt;"",'控制台'!B4='刷新信息'!B6,'控制台'!B5='刷新信息'!B8),A335='控制台'!B4,B335='控制台'!B5,OR(C335="应收",C335="应付"),COUNTIFS('往来余额'!A5:A6000,C335,'往来余额'!B5:B6000,D335)=1,E335&lt;&gt;"",COUNTIFS(A$5:A$504,A335,B$5:B$504,B335,C$5:C$504,C335,D$5:D$504,D335,E$5:E$504,E335)=1,ISNUMBER(F335),I335&gt;=0,ISNUMBER(H335),H335&gt;=0),"纳入","待核实"))</f>
        <v/>
      </c>
    </row>
    <row r="336">
      <c r="A336" s="13" t="n"/>
      <c r="B336" s="13" t="n"/>
      <c r="C336" s="13" t="n"/>
      <c r="D336" s="13" t="n"/>
      <c r="E336" s="13" t="n"/>
      <c r="F336" s="19" t="n"/>
      <c r="G336" s="19" t="n"/>
      <c r="H336" s="15" t="n"/>
      <c r="I336">
        <f>IF(OR(A336&lt;&gt; '控制台'!B4,B336&lt;&gt; '控制台'!B5,F336=""),"",DATE(VALUE(LEFT('控制台'!B5,4)),VALUE(RIGHT('控制台'!B5,2))+1,1)-1-F336)</f>
        <v/>
      </c>
      <c r="J336">
        <f>IF(OR(A336&lt;&gt; '控制台'!B4,B336&lt;&gt; '控制台'!B5,G336=""),"",MAX(0,DATE(VALUE(LEFT('控制台'!B5,4)),VALUE(RIGHT('控制台'!B5,2))+1,1)-1-G336))</f>
        <v/>
      </c>
      <c r="K336">
        <f>IF(A336="","",IF(AND(AND('控制台'!B4&lt;&gt;"",'控制台'!B5&lt;&gt;"",'控制台'!B4='刷新信息'!B6,'控制台'!B5='刷新信息'!B8),A336='控制台'!B4,B336='控制台'!B5,OR(C336="应收",C336="应付"),COUNTIFS('往来余额'!A5:A6000,C336,'往来余额'!B5:B6000,D336)=1,E336&lt;&gt;"",COUNTIFS(A$5:A$504,A336,B$5:B$504,B336,C$5:C$504,C336,D$5:D$504,D336,E$5:E$504,E336)=1,ISNUMBER(F336),I336&gt;=0,ISNUMBER(H336),H336&gt;=0),"纳入","待核实"))</f>
        <v/>
      </c>
    </row>
    <row r="337">
      <c r="A337" s="13" t="n"/>
      <c r="B337" s="13" t="n"/>
      <c r="C337" s="13" t="n"/>
      <c r="D337" s="13" t="n"/>
      <c r="E337" s="13" t="n"/>
      <c r="F337" s="19" t="n"/>
      <c r="G337" s="19" t="n"/>
      <c r="H337" s="15" t="n"/>
      <c r="I337">
        <f>IF(OR(A337&lt;&gt; '控制台'!B4,B337&lt;&gt; '控制台'!B5,F337=""),"",DATE(VALUE(LEFT('控制台'!B5,4)),VALUE(RIGHT('控制台'!B5,2))+1,1)-1-F337)</f>
        <v/>
      </c>
      <c r="J337">
        <f>IF(OR(A337&lt;&gt; '控制台'!B4,B337&lt;&gt; '控制台'!B5,G337=""),"",MAX(0,DATE(VALUE(LEFT('控制台'!B5,4)),VALUE(RIGHT('控制台'!B5,2))+1,1)-1-G337))</f>
        <v/>
      </c>
      <c r="K337">
        <f>IF(A337="","",IF(AND(AND('控制台'!B4&lt;&gt;"",'控制台'!B5&lt;&gt;"",'控制台'!B4='刷新信息'!B6,'控制台'!B5='刷新信息'!B8),A337='控制台'!B4,B337='控制台'!B5,OR(C337="应收",C337="应付"),COUNTIFS('往来余额'!A5:A6000,C337,'往来余额'!B5:B6000,D337)=1,E337&lt;&gt;"",COUNTIFS(A$5:A$504,A337,B$5:B$504,B337,C$5:C$504,C337,D$5:D$504,D337,E$5:E$504,E337)=1,ISNUMBER(F337),I337&gt;=0,ISNUMBER(H337),H337&gt;=0),"纳入","待核实"))</f>
        <v/>
      </c>
    </row>
    <row r="338">
      <c r="A338" s="13" t="n"/>
      <c r="B338" s="13" t="n"/>
      <c r="C338" s="13" t="n"/>
      <c r="D338" s="13" t="n"/>
      <c r="E338" s="13" t="n"/>
      <c r="F338" s="19" t="n"/>
      <c r="G338" s="19" t="n"/>
      <c r="H338" s="15" t="n"/>
      <c r="I338">
        <f>IF(OR(A338&lt;&gt; '控制台'!B4,B338&lt;&gt; '控制台'!B5,F338=""),"",DATE(VALUE(LEFT('控制台'!B5,4)),VALUE(RIGHT('控制台'!B5,2))+1,1)-1-F338)</f>
        <v/>
      </c>
      <c r="J338">
        <f>IF(OR(A338&lt;&gt; '控制台'!B4,B338&lt;&gt; '控制台'!B5,G338=""),"",MAX(0,DATE(VALUE(LEFT('控制台'!B5,4)),VALUE(RIGHT('控制台'!B5,2))+1,1)-1-G338))</f>
        <v/>
      </c>
      <c r="K338">
        <f>IF(A338="","",IF(AND(AND('控制台'!B4&lt;&gt;"",'控制台'!B5&lt;&gt;"",'控制台'!B4='刷新信息'!B6,'控制台'!B5='刷新信息'!B8),A338='控制台'!B4,B338='控制台'!B5,OR(C338="应收",C338="应付"),COUNTIFS('往来余额'!A5:A6000,C338,'往来余额'!B5:B6000,D338)=1,E338&lt;&gt;"",COUNTIFS(A$5:A$504,A338,B$5:B$504,B338,C$5:C$504,C338,D$5:D$504,D338,E$5:E$504,E338)=1,ISNUMBER(F338),I338&gt;=0,ISNUMBER(H338),H338&gt;=0),"纳入","待核实"))</f>
        <v/>
      </c>
    </row>
    <row r="339">
      <c r="A339" s="13" t="n"/>
      <c r="B339" s="13" t="n"/>
      <c r="C339" s="13" t="n"/>
      <c r="D339" s="13" t="n"/>
      <c r="E339" s="13" t="n"/>
      <c r="F339" s="19" t="n"/>
      <c r="G339" s="19" t="n"/>
      <c r="H339" s="15" t="n"/>
      <c r="I339">
        <f>IF(OR(A339&lt;&gt; '控制台'!B4,B339&lt;&gt; '控制台'!B5,F339=""),"",DATE(VALUE(LEFT('控制台'!B5,4)),VALUE(RIGHT('控制台'!B5,2))+1,1)-1-F339)</f>
        <v/>
      </c>
      <c r="J339">
        <f>IF(OR(A339&lt;&gt; '控制台'!B4,B339&lt;&gt; '控制台'!B5,G339=""),"",MAX(0,DATE(VALUE(LEFT('控制台'!B5,4)),VALUE(RIGHT('控制台'!B5,2))+1,1)-1-G339))</f>
        <v/>
      </c>
      <c r="K339">
        <f>IF(A339="","",IF(AND(AND('控制台'!B4&lt;&gt;"",'控制台'!B5&lt;&gt;"",'控制台'!B4='刷新信息'!B6,'控制台'!B5='刷新信息'!B8),A339='控制台'!B4,B339='控制台'!B5,OR(C339="应收",C339="应付"),COUNTIFS('往来余额'!A5:A6000,C339,'往来余额'!B5:B6000,D339)=1,E339&lt;&gt;"",COUNTIFS(A$5:A$504,A339,B$5:B$504,B339,C$5:C$504,C339,D$5:D$504,D339,E$5:E$504,E339)=1,ISNUMBER(F339),I339&gt;=0,ISNUMBER(H339),H339&gt;=0),"纳入","待核实"))</f>
        <v/>
      </c>
    </row>
    <row r="340">
      <c r="A340" s="13" t="n"/>
      <c r="B340" s="13" t="n"/>
      <c r="C340" s="13" t="n"/>
      <c r="D340" s="13" t="n"/>
      <c r="E340" s="13" t="n"/>
      <c r="F340" s="19" t="n"/>
      <c r="G340" s="19" t="n"/>
      <c r="H340" s="15" t="n"/>
      <c r="I340">
        <f>IF(OR(A340&lt;&gt; '控制台'!B4,B340&lt;&gt; '控制台'!B5,F340=""),"",DATE(VALUE(LEFT('控制台'!B5,4)),VALUE(RIGHT('控制台'!B5,2))+1,1)-1-F340)</f>
        <v/>
      </c>
      <c r="J340">
        <f>IF(OR(A340&lt;&gt; '控制台'!B4,B340&lt;&gt; '控制台'!B5,G340=""),"",MAX(0,DATE(VALUE(LEFT('控制台'!B5,4)),VALUE(RIGHT('控制台'!B5,2))+1,1)-1-G340))</f>
        <v/>
      </c>
      <c r="K340">
        <f>IF(A340="","",IF(AND(AND('控制台'!B4&lt;&gt;"",'控制台'!B5&lt;&gt;"",'控制台'!B4='刷新信息'!B6,'控制台'!B5='刷新信息'!B8),A340='控制台'!B4,B340='控制台'!B5,OR(C340="应收",C340="应付"),COUNTIFS('往来余额'!A5:A6000,C340,'往来余额'!B5:B6000,D340)=1,E340&lt;&gt;"",COUNTIFS(A$5:A$504,A340,B$5:B$504,B340,C$5:C$504,C340,D$5:D$504,D340,E$5:E$504,E340)=1,ISNUMBER(F340),I340&gt;=0,ISNUMBER(H340),H340&gt;=0),"纳入","待核实"))</f>
        <v/>
      </c>
    </row>
    <row r="341">
      <c r="A341" s="13" t="n"/>
      <c r="B341" s="13" t="n"/>
      <c r="C341" s="13" t="n"/>
      <c r="D341" s="13" t="n"/>
      <c r="E341" s="13" t="n"/>
      <c r="F341" s="19" t="n"/>
      <c r="G341" s="19" t="n"/>
      <c r="H341" s="15" t="n"/>
      <c r="I341">
        <f>IF(OR(A341&lt;&gt; '控制台'!B4,B341&lt;&gt; '控制台'!B5,F341=""),"",DATE(VALUE(LEFT('控制台'!B5,4)),VALUE(RIGHT('控制台'!B5,2))+1,1)-1-F341)</f>
        <v/>
      </c>
      <c r="J341">
        <f>IF(OR(A341&lt;&gt; '控制台'!B4,B341&lt;&gt; '控制台'!B5,G341=""),"",MAX(0,DATE(VALUE(LEFT('控制台'!B5,4)),VALUE(RIGHT('控制台'!B5,2))+1,1)-1-G341))</f>
        <v/>
      </c>
      <c r="K341">
        <f>IF(A341="","",IF(AND(AND('控制台'!B4&lt;&gt;"",'控制台'!B5&lt;&gt;"",'控制台'!B4='刷新信息'!B6,'控制台'!B5='刷新信息'!B8),A341='控制台'!B4,B341='控制台'!B5,OR(C341="应收",C341="应付"),COUNTIFS('往来余额'!A5:A6000,C341,'往来余额'!B5:B6000,D341)=1,E341&lt;&gt;"",COUNTIFS(A$5:A$504,A341,B$5:B$504,B341,C$5:C$504,C341,D$5:D$504,D341,E$5:E$504,E341)=1,ISNUMBER(F341),I341&gt;=0,ISNUMBER(H341),H341&gt;=0),"纳入","待核实"))</f>
        <v/>
      </c>
    </row>
    <row r="342">
      <c r="A342" s="13" t="n"/>
      <c r="B342" s="13" t="n"/>
      <c r="C342" s="13" t="n"/>
      <c r="D342" s="13" t="n"/>
      <c r="E342" s="13" t="n"/>
      <c r="F342" s="19" t="n"/>
      <c r="G342" s="19" t="n"/>
      <c r="H342" s="15" t="n"/>
      <c r="I342">
        <f>IF(OR(A342&lt;&gt; '控制台'!B4,B342&lt;&gt; '控制台'!B5,F342=""),"",DATE(VALUE(LEFT('控制台'!B5,4)),VALUE(RIGHT('控制台'!B5,2))+1,1)-1-F342)</f>
        <v/>
      </c>
      <c r="J342">
        <f>IF(OR(A342&lt;&gt; '控制台'!B4,B342&lt;&gt; '控制台'!B5,G342=""),"",MAX(0,DATE(VALUE(LEFT('控制台'!B5,4)),VALUE(RIGHT('控制台'!B5,2))+1,1)-1-G342))</f>
        <v/>
      </c>
      <c r="K342">
        <f>IF(A342="","",IF(AND(AND('控制台'!B4&lt;&gt;"",'控制台'!B5&lt;&gt;"",'控制台'!B4='刷新信息'!B6,'控制台'!B5='刷新信息'!B8),A342='控制台'!B4,B342='控制台'!B5,OR(C342="应收",C342="应付"),COUNTIFS('往来余额'!A5:A6000,C342,'往来余额'!B5:B6000,D342)=1,E342&lt;&gt;"",COUNTIFS(A$5:A$504,A342,B$5:B$504,B342,C$5:C$504,C342,D$5:D$504,D342,E$5:E$504,E342)=1,ISNUMBER(F342),I342&gt;=0,ISNUMBER(H342),H342&gt;=0),"纳入","待核实"))</f>
        <v/>
      </c>
    </row>
    <row r="343">
      <c r="A343" s="13" t="n"/>
      <c r="B343" s="13" t="n"/>
      <c r="C343" s="13" t="n"/>
      <c r="D343" s="13" t="n"/>
      <c r="E343" s="13" t="n"/>
      <c r="F343" s="19" t="n"/>
      <c r="G343" s="19" t="n"/>
      <c r="H343" s="15" t="n"/>
      <c r="I343">
        <f>IF(OR(A343&lt;&gt; '控制台'!B4,B343&lt;&gt; '控制台'!B5,F343=""),"",DATE(VALUE(LEFT('控制台'!B5,4)),VALUE(RIGHT('控制台'!B5,2))+1,1)-1-F343)</f>
        <v/>
      </c>
      <c r="J343">
        <f>IF(OR(A343&lt;&gt; '控制台'!B4,B343&lt;&gt; '控制台'!B5,G343=""),"",MAX(0,DATE(VALUE(LEFT('控制台'!B5,4)),VALUE(RIGHT('控制台'!B5,2))+1,1)-1-G343))</f>
        <v/>
      </c>
      <c r="K343">
        <f>IF(A343="","",IF(AND(AND('控制台'!B4&lt;&gt;"",'控制台'!B5&lt;&gt;"",'控制台'!B4='刷新信息'!B6,'控制台'!B5='刷新信息'!B8),A343='控制台'!B4,B343='控制台'!B5,OR(C343="应收",C343="应付"),COUNTIFS('往来余额'!A5:A6000,C343,'往来余额'!B5:B6000,D343)=1,E343&lt;&gt;"",COUNTIFS(A$5:A$504,A343,B$5:B$504,B343,C$5:C$504,C343,D$5:D$504,D343,E$5:E$504,E343)=1,ISNUMBER(F343),I343&gt;=0,ISNUMBER(H343),H343&gt;=0),"纳入","待核实"))</f>
        <v/>
      </c>
    </row>
    <row r="344">
      <c r="A344" s="13" t="n"/>
      <c r="B344" s="13" t="n"/>
      <c r="C344" s="13" t="n"/>
      <c r="D344" s="13" t="n"/>
      <c r="E344" s="13" t="n"/>
      <c r="F344" s="19" t="n"/>
      <c r="G344" s="19" t="n"/>
      <c r="H344" s="15" t="n"/>
      <c r="I344">
        <f>IF(OR(A344&lt;&gt; '控制台'!B4,B344&lt;&gt; '控制台'!B5,F344=""),"",DATE(VALUE(LEFT('控制台'!B5,4)),VALUE(RIGHT('控制台'!B5,2))+1,1)-1-F344)</f>
        <v/>
      </c>
      <c r="J344">
        <f>IF(OR(A344&lt;&gt; '控制台'!B4,B344&lt;&gt; '控制台'!B5,G344=""),"",MAX(0,DATE(VALUE(LEFT('控制台'!B5,4)),VALUE(RIGHT('控制台'!B5,2))+1,1)-1-G344))</f>
        <v/>
      </c>
      <c r="K344">
        <f>IF(A344="","",IF(AND(AND('控制台'!B4&lt;&gt;"",'控制台'!B5&lt;&gt;"",'控制台'!B4='刷新信息'!B6,'控制台'!B5='刷新信息'!B8),A344='控制台'!B4,B344='控制台'!B5,OR(C344="应收",C344="应付"),COUNTIFS('往来余额'!A5:A6000,C344,'往来余额'!B5:B6000,D344)=1,E344&lt;&gt;"",COUNTIFS(A$5:A$504,A344,B$5:B$504,B344,C$5:C$504,C344,D$5:D$504,D344,E$5:E$504,E344)=1,ISNUMBER(F344),I344&gt;=0,ISNUMBER(H344),H344&gt;=0),"纳入","待核实"))</f>
        <v/>
      </c>
    </row>
    <row r="345">
      <c r="A345" s="13" t="n"/>
      <c r="B345" s="13" t="n"/>
      <c r="C345" s="13" t="n"/>
      <c r="D345" s="13" t="n"/>
      <c r="E345" s="13" t="n"/>
      <c r="F345" s="19" t="n"/>
      <c r="G345" s="19" t="n"/>
      <c r="H345" s="15" t="n"/>
      <c r="I345">
        <f>IF(OR(A345&lt;&gt; '控制台'!B4,B345&lt;&gt; '控制台'!B5,F345=""),"",DATE(VALUE(LEFT('控制台'!B5,4)),VALUE(RIGHT('控制台'!B5,2))+1,1)-1-F345)</f>
        <v/>
      </c>
      <c r="J345">
        <f>IF(OR(A345&lt;&gt; '控制台'!B4,B345&lt;&gt; '控制台'!B5,G345=""),"",MAX(0,DATE(VALUE(LEFT('控制台'!B5,4)),VALUE(RIGHT('控制台'!B5,2))+1,1)-1-G345))</f>
        <v/>
      </c>
      <c r="K345">
        <f>IF(A345="","",IF(AND(AND('控制台'!B4&lt;&gt;"",'控制台'!B5&lt;&gt;"",'控制台'!B4='刷新信息'!B6,'控制台'!B5='刷新信息'!B8),A345='控制台'!B4,B345='控制台'!B5,OR(C345="应收",C345="应付"),COUNTIFS('往来余额'!A5:A6000,C345,'往来余额'!B5:B6000,D345)=1,E345&lt;&gt;"",COUNTIFS(A$5:A$504,A345,B$5:B$504,B345,C$5:C$504,C345,D$5:D$504,D345,E$5:E$504,E345)=1,ISNUMBER(F345),I345&gt;=0,ISNUMBER(H345),H345&gt;=0),"纳入","待核实"))</f>
        <v/>
      </c>
    </row>
    <row r="346">
      <c r="A346" s="13" t="n"/>
      <c r="B346" s="13" t="n"/>
      <c r="C346" s="13" t="n"/>
      <c r="D346" s="13" t="n"/>
      <c r="E346" s="13" t="n"/>
      <c r="F346" s="19" t="n"/>
      <c r="G346" s="19" t="n"/>
      <c r="H346" s="15" t="n"/>
      <c r="I346">
        <f>IF(OR(A346&lt;&gt; '控制台'!B4,B346&lt;&gt; '控制台'!B5,F346=""),"",DATE(VALUE(LEFT('控制台'!B5,4)),VALUE(RIGHT('控制台'!B5,2))+1,1)-1-F346)</f>
        <v/>
      </c>
      <c r="J346">
        <f>IF(OR(A346&lt;&gt; '控制台'!B4,B346&lt;&gt; '控制台'!B5,G346=""),"",MAX(0,DATE(VALUE(LEFT('控制台'!B5,4)),VALUE(RIGHT('控制台'!B5,2))+1,1)-1-G346))</f>
        <v/>
      </c>
      <c r="K346">
        <f>IF(A346="","",IF(AND(AND('控制台'!B4&lt;&gt;"",'控制台'!B5&lt;&gt;"",'控制台'!B4='刷新信息'!B6,'控制台'!B5='刷新信息'!B8),A346='控制台'!B4,B346='控制台'!B5,OR(C346="应收",C346="应付"),COUNTIFS('往来余额'!A5:A6000,C346,'往来余额'!B5:B6000,D346)=1,E346&lt;&gt;"",COUNTIFS(A$5:A$504,A346,B$5:B$504,B346,C$5:C$504,C346,D$5:D$504,D346,E$5:E$504,E346)=1,ISNUMBER(F346),I346&gt;=0,ISNUMBER(H346),H346&gt;=0),"纳入","待核实"))</f>
        <v/>
      </c>
    </row>
    <row r="347">
      <c r="A347" s="13" t="n"/>
      <c r="B347" s="13" t="n"/>
      <c r="C347" s="13" t="n"/>
      <c r="D347" s="13" t="n"/>
      <c r="E347" s="13" t="n"/>
      <c r="F347" s="19" t="n"/>
      <c r="G347" s="19" t="n"/>
      <c r="H347" s="15" t="n"/>
      <c r="I347">
        <f>IF(OR(A347&lt;&gt; '控制台'!B4,B347&lt;&gt; '控制台'!B5,F347=""),"",DATE(VALUE(LEFT('控制台'!B5,4)),VALUE(RIGHT('控制台'!B5,2))+1,1)-1-F347)</f>
        <v/>
      </c>
      <c r="J347">
        <f>IF(OR(A347&lt;&gt; '控制台'!B4,B347&lt;&gt; '控制台'!B5,G347=""),"",MAX(0,DATE(VALUE(LEFT('控制台'!B5,4)),VALUE(RIGHT('控制台'!B5,2))+1,1)-1-G347))</f>
        <v/>
      </c>
      <c r="K347">
        <f>IF(A347="","",IF(AND(AND('控制台'!B4&lt;&gt;"",'控制台'!B5&lt;&gt;"",'控制台'!B4='刷新信息'!B6,'控制台'!B5='刷新信息'!B8),A347='控制台'!B4,B347='控制台'!B5,OR(C347="应收",C347="应付"),COUNTIFS('往来余额'!A5:A6000,C347,'往来余额'!B5:B6000,D347)=1,E347&lt;&gt;"",COUNTIFS(A$5:A$504,A347,B$5:B$504,B347,C$5:C$504,C347,D$5:D$504,D347,E$5:E$504,E347)=1,ISNUMBER(F347),I347&gt;=0,ISNUMBER(H347),H347&gt;=0),"纳入","待核实"))</f>
        <v/>
      </c>
    </row>
    <row r="348">
      <c r="A348" s="13" t="n"/>
      <c r="B348" s="13" t="n"/>
      <c r="C348" s="13" t="n"/>
      <c r="D348" s="13" t="n"/>
      <c r="E348" s="13" t="n"/>
      <c r="F348" s="19" t="n"/>
      <c r="G348" s="19" t="n"/>
      <c r="H348" s="15" t="n"/>
      <c r="I348">
        <f>IF(OR(A348&lt;&gt; '控制台'!B4,B348&lt;&gt; '控制台'!B5,F348=""),"",DATE(VALUE(LEFT('控制台'!B5,4)),VALUE(RIGHT('控制台'!B5,2))+1,1)-1-F348)</f>
        <v/>
      </c>
      <c r="J348">
        <f>IF(OR(A348&lt;&gt; '控制台'!B4,B348&lt;&gt; '控制台'!B5,G348=""),"",MAX(0,DATE(VALUE(LEFT('控制台'!B5,4)),VALUE(RIGHT('控制台'!B5,2))+1,1)-1-G348))</f>
        <v/>
      </c>
      <c r="K348">
        <f>IF(A348="","",IF(AND(AND('控制台'!B4&lt;&gt;"",'控制台'!B5&lt;&gt;"",'控制台'!B4='刷新信息'!B6,'控制台'!B5='刷新信息'!B8),A348='控制台'!B4,B348='控制台'!B5,OR(C348="应收",C348="应付"),COUNTIFS('往来余额'!A5:A6000,C348,'往来余额'!B5:B6000,D348)=1,E348&lt;&gt;"",COUNTIFS(A$5:A$504,A348,B$5:B$504,B348,C$5:C$504,C348,D$5:D$504,D348,E$5:E$504,E348)=1,ISNUMBER(F348),I348&gt;=0,ISNUMBER(H348),H348&gt;=0),"纳入","待核实"))</f>
        <v/>
      </c>
    </row>
    <row r="349">
      <c r="A349" s="13" t="n"/>
      <c r="B349" s="13" t="n"/>
      <c r="C349" s="13" t="n"/>
      <c r="D349" s="13" t="n"/>
      <c r="E349" s="13" t="n"/>
      <c r="F349" s="19" t="n"/>
      <c r="G349" s="19" t="n"/>
      <c r="H349" s="15" t="n"/>
      <c r="I349">
        <f>IF(OR(A349&lt;&gt; '控制台'!B4,B349&lt;&gt; '控制台'!B5,F349=""),"",DATE(VALUE(LEFT('控制台'!B5,4)),VALUE(RIGHT('控制台'!B5,2))+1,1)-1-F349)</f>
        <v/>
      </c>
      <c r="J349">
        <f>IF(OR(A349&lt;&gt; '控制台'!B4,B349&lt;&gt; '控制台'!B5,G349=""),"",MAX(0,DATE(VALUE(LEFT('控制台'!B5,4)),VALUE(RIGHT('控制台'!B5,2))+1,1)-1-G349))</f>
        <v/>
      </c>
      <c r="K349">
        <f>IF(A349="","",IF(AND(AND('控制台'!B4&lt;&gt;"",'控制台'!B5&lt;&gt;"",'控制台'!B4='刷新信息'!B6,'控制台'!B5='刷新信息'!B8),A349='控制台'!B4,B349='控制台'!B5,OR(C349="应收",C349="应付"),COUNTIFS('往来余额'!A5:A6000,C349,'往来余额'!B5:B6000,D349)=1,E349&lt;&gt;"",COUNTIFS(A$5:A$504,A349,B$5:B$504,B349,C$5:C$504,C349,D$5:D$504,D349,E$5:E$504,E349)=1,ISNUMBER(F349),I349&gt;=0,ISNUMBER(H349),H349&gt;=0),"纳入","待核实"))</f>
        <v/>
      </c>
    </row>
    <row r="350">
      <c r="A350" s="13" t="n"/>
      <c r="B350" s="13" t="n"/>
      <c r="C350" s="13" t="n"/>
      <c r="D350" s="13" t="n"/>
      <c r="E350" s="13" t="n"/>
      <c r="F350" s="19" t="n"/>
      <c r="G350" s="19" t="n"/>
      <c r="H350" s="15" t="n"/>
      <c r="I350">
        <f>IF(OR(A350&lt;&gt; '控制台'!B4,B350&lt;&gt; '控制台'!B5,F350=""),"",DATE(VALUE(LEFT('控制台'!B5,4)),VALUE(RIGHT('控制台'!B5,2))+1,1)-1-F350)</f>
        <v/>
      </c>
      <c r="J350">
        <f>IF(OR(A350&lt;&gt; '控制台'!B4,B350&lt;&gt; '控制台'!B5,G350=""),"",MAX(0,DATE(VALUE(LEFT('控制台'!B5,4)),VALUE(RIGHT('控制台'!B5,2))+1,1)-1-G350))</f>
        <v/>
      </c>
      <c r="K350">
        <f>IF(A350="","",IF(AND(AND('控制台'!B4&lt;&gt;"",'控制台'!B5&lt;&gt;"",'控制台'!B4='刷新信息'!B6,'控制台'!B5='刷新信息'!B8),A350='控制台'!B4,B350='控制台'!B5,OR(C350="应收",C350="应付"),COUNTIFS('往来余额'!A5:A6000,C350,'往来余额'!B5:B6000,D350)=1,E350&lt;&gt;"",COUNTIFS(A$5:A$504,A350,B$5:B$504,B350,C$5:C$504,C350,D$5:D$504,D350,E$5:E$504,E350)=1,ISNUMBER(F350),I350&gt;=0,ISNUMBER(H350),H350&gt;=0),"纳入","待核实"))</f>
        <v/>
      </c>
    </row>
    <row r="351">
      <c r="A351" s="13" t="n"/>
      <c r="B351" s="13" t="n"/>
      <c r="C351" s="13" t="n"/>
      <c r="D351" s="13" t="n"/>
      <c r="E351" s="13" t="n"/>
      <c r="F351" s="19" t="n"/>
      <c r="G351" s="19" t="n"/>
      <c r="H351" s="15" t="n"/>
      <c r="I351">
        <f>IF(OR(A351&lt;&gt; '控制台'!B4,B351&lt;&gt; '控制台'!B5,F351=""),"",DATE(VALUE(LEFT('控制台'!B5,4)),VALUE(RIGHT('控制台'!B5,2))+1,1)-1-F351)</f>
        <v/>
      </c>
      <c r="J351">
        <f>IF(OR(A351&lt;&gt; '控制台'!B4,B351&lt;&gt; '控制台'!B5,G351=""),"",MAX(0,DATE(VALUE(LEFT('控制台'!B5,4)),VALUE(RIGHT('控制台'!B5,2))+1,1)-1-G351))</f>
        <v/>
      </c>
      <c r="K351">
        <f>IF(A351="","",IF(AND(AND('控制台'!B4&lt;&gt;"",'控制台'!B5&lt;&gt;"",'控制台'!B4='刷新信息'!B6,'控制台'!B5='刷新信息'!B8),A351='控制台'!B4,B351='控制台'!B5,OR(C351="应收",C351="应付"),COUNTIFS('往来余额'!A5:A6000,C351,'往来余额'!B5:B6000,D351)=1,E351&lt;&gt;"",COUNTIFS(A$5:A$504,A351,B$5:B$504,B351,C$5:C$504,C351,D$5:D$504,D351,E$5:E$504,E351)=1,ISNUMBER(F351),I351&gt;=0,ISNUMBER(H351),H351&gt;=0),"纳入","待核实"))</f>
        <v/>
      </c>
    </row>
    <row r="352">
      <c r="A352" s="13" t="n"/>
      <c r="B352" s="13" t="n"/>
      <c r="C352" s="13" t="n"/>
      <c r="D352" s="13" t="n"/>
      <c r="E352" s="13" t="n"/>
      <c r="F352" s="19" t="n"/>
      <c r="G352" s="19" t="n"/>
      <c r="H352" s="15" t="n"/>
      <c r="I352">
        <f>IF(OR(A352&lt;&gt; '控制台'!B4,B352&lt;&gt; '控制台'!B5,F352=""),"",DATE(VALUE(LEFT('控制台'!B5,4)),VALUE(RIGHT('控制台'!B5,2))+1,1)-1-F352)</f>
        <v/>
      </c>
      <c r="J352">
        <f>IF(OR(A352&lt;&gt; '控制台'!B4,B352&lt;&gt; '控制台'!B5,G352=""),"",MAX(0,DATE(VALUE(LEFT('控制台'!B5,4)),VALUE(RIGHT('控制台'!B5,2))+1,1)-1-G352))</f>
        <v/>
      </c>
      <c r="K352">
        <f>IF(A352="","",IF(AND(AND('控制台'!B4&lt;&gt;"",'控制台'!B5&lt;&gt;"",'控制台'!B4='刷新信息'!B6,'控制台'!B5='刷新信息'!B8),A352='控制台'!B4,B352='控制台'!B5,OR(C352="应收",C352="应付"),COUNTIFS('往来余额'!A5:A6000,C352,'往来余额'!B5:B6000,D352)=1,E352&lt;&gt;"",COUNTIFS(A$5:A$504,A352,B$5:B$504,B352,C$5:C$504,C352,D$5:D$504,D352,E$5:E$504,E352)=1,ISNUMBER(F352),I352&gt;=0,ISNUMBER(H352),H352&gt;=0),"纳入","待核实"))</f>
        <v/>
      </c>
    </row>
    <row r="353">
      <c r="A353" s="13" t="n"/>
      <c r="B353" s="13" t="n"/>
      <c r="C353" s="13" t="n"/>
      <c r="D353" s="13" t="n"/>
      <c r="E353" s="13" t="n"/>
      <c r="F353" s="19" t="n"/>
      <c r="G353" s="19" t="n"/>
      <c r="H353" s="15" t="n"/>
      <c r="I353">
        <f>IF(OR(A353&lt;&gt; '控制台'!B4,B353&lt;&gt; '控制台'!B5,F353=""),"",DATE(VALUE(LEFT('控制台'!B5,4)),VALUE(RIGHT('控制台'!B5,2))+1,1)-1-F353)</f>
        <v/>
      </c>
      <c r="J353">
        <f>IF(OR(A353&lt;&gt; '控制台'!B4,B353&lt;&gt; '控制台'!B5,G353=""),"",MAX(0,DATE(VALUE(LEFT('控制台'!B5,4)),VALUE(RIGHT('控制台'!B5,2))+1,1)-1-G353))</f>
        <v/>
      </c>
      <c r="K353">
        <f>IF(A353="","",IF(AND(AND('控制台'!B4&lt;&gt;"",'控制台'!B5&lt;&gt;"",'控制台'!B4='刷新信息'!B6,'控制台'!B5='刷新信息'!B8),A353='控制台'!B4,B353='控制台'!B5,OR(C353="应收",C353="应付"),COUNTIFS('往来余额'!A5:A6000,C353,'往来余额'!B5:B6000,D353)=1,E353&lt;&gt;"",COUNTIFS(A$5:A$504,A353,B$5:B$504,B353,C$5:C$504,C353,D$5:D$504,D353,E$5:E$504,E353)=1,ISNUMBER(F353),I353&gt;=0,ISNUMBER(H353),H353&gt;=0),"纳入","待核实"))</f>
        <v/>
      </c>
    </row>
    <row r="354">
      <c r="A354" s="13" t="n"/>
      <c r="B354" s="13" t="n"/>
      <c r="C354" s="13" t="n"/>
      <c r="D354" s="13" t="n"/>
      <c r="E354" s="13" t="n"/>
      <c r="F354" s="19" t="n"/>
      <c r="G354" s="19" t="n"/>
      <c r="H354" s="15" t="n"/>
      <c r="I354">
        <f>IF(OR(A354&lt;&gt; '控制台'!B4,B354&lt;&gt; '控制台'!B5,F354=""),"",DATE(VALUE(LEFT('控制台'!B5,4)),VALUE(RIGHT('控制台'!B5,2))+1,1)-1-F354)</f>
        <v/>
      </c>
      <c r="J354">
        <f>IF(OR(A354&lt;&gt; '控制台'!B4,B354&lt;&gt; '控制台'!B5,G354=""),"",MAX(0,DATE(VALUE(LEFT('控制台'!B5,4)),VALUE(RIGHT('控制台'!B5,2))+1,1)-1-G354))</f>
        <v/>
      </c>
      <c r="K354">
        <f>IF(A354="","",IF(AND(AND('控制台'!B4&lt;&gt;"",'控制台'!B5&lt;&gt;"",'控制台'!B4='刷新信息'!B6,'控制台'!B5='刷新信息'!B8),A354='控制台'!B4,B354='控制台'!B5,OR(C354="应收",C354="应付"),COUNTIFS('往来余额'!A5:A6000,C354,'往来余额'!B5:B6000,D354)=1,E354&lt;&gt;"",COUNTIFS(A$5:A$504,A354,B$5:B$504,B354,C$5:C$504,C354,D$5:D$504,D354,E$5:E$504,E354)=1,ISNUMBER(F354),I354&gt;=0,ISNUMBER(H354),H354&gt;=0),"纳入","待核实"))</f>
        <v/>
      </c>
    </row>
    <row r="355">
      <c r="A355" s="13" t="n"/>
      <c r="B355" s="13" t="n"/>
      <c r="C355" s="13" t="n"/>
      <c r="D355" s="13" t="n"/>
      <c r="E355" s="13" t="n"/>
      <c r="F355" s="19" t="n"/>
      <c r="G355" s="19" t="n"/>
      <c r="H355" s="15" t="n"/>
      <c r="I355">
        <f>IF(OR(A355&lt;&gt; '控制台'!B4,B355&lt;&gt; '控制台'!B5,F355=""),"",DATE(VALUE(LEFT('控制台'!B5,4)),VALUE(RIGHT('控制台'!B5,2))+1,1)-1-F355)</f>
        <v/>
      </c>
      <c r="J355">
        <f>IF(OR(A355&lt;&gt; '控制台'!B4,B355&lt;&gt; '控制台'!B5,G355=""),"",MAX(0,DATE(VALUE(LEFT('控制台'!B5,4)),VALUE(RIGHT('控制台'!B5,2))+1,1)-1-G355))</f>
        <v/>
      </c>
      <c r="K355">
        <f>IF(A355="","",IF(AND(AND('控制台'!B4&lt;&gt;"",'控制台'!B5&lt;&gt;"",'控制台'!B4='刷新信息'!B6,'控制台'!B5='刷新信息'!B8),A355='控制台'!B4,B355='控制台'!B5,OR(C355="应收",C355="应付"),COUNTIFS('往来余额'!A5:A6000,C355,'往来余额'!B5:B6000,D355)=1,E355&lt;&gt;"",COUNTIFS(A$5:A$504,A355,B$5:B$504,B355,C$5:C$504,C355,D$5:D$504,D355,E$5:E$504,E355)=1,ISNUMBER(F355),I355&gt;=0,ISNUMBER(H355),H355&gt;=0),"纳入","待核实"))</f>
        <v/>
      </c>
    </row>
    <row r="356">
      <c r="A356" s="13" t="n"/>
      <c r="B356" s="13" t="n"/>
      <c r="C356" s="13" t="n"/>
      <c r="D356" s="13" t="n"/>
      <c r="E356" s="13" t="n"/>
      <c r="F356" s="19" t="n"/>
      <c r="G356" s="19" t="n"/>
      <c r="H356" s="15" t="n"/>
      <c r="I356">
        <f>IF(OR(A356&lt;&gt; '控制台'!B4,B356&lt;&gt; '控制台'!B5,F356=""),"",DATE(VALUE(LEFT('控制台'!B5,4)),VALUE(RIGHT('控制台'!B5,2))+1,1)-1-F356)</f>
        <v/>
      </c>
      <c r="J356">
        <f>IF(OR(A356&lt;&gt; '控制台'!B4,B356&lt;&gt; '控制台'!B5,G356=""),"",MAX(0,DATE(VALUE(LEFT('控制台'!B5,4)),VALUE(RIGHT('控制台'!B5,2))+1,1)-1-G356))</f>
        <v/>
      </c>
      <c r="K356">
        <f>IF(A356="","",IF(AND(AND('控制台'!B4&lt;&gt;"",'控制台'!B5&lt;&gt;"",'控制台'!B4='刷新信息'!B6,'控制台'!B5='刷新信息'!B8),A356='控制台'!B4,B356='控制台'!B5,OR(C356="应收",C356="应付"),COUNTIFS('往来余额'!A5:A6000,C356,'往来余额'!B5:B6000,D356)=1,E356&lt;&gt;"",COUNTIFS(A$5:A$504,A356,B$5:B$504,B356,C$5:C$504,C356,D$5:D$504,D356,E$5:E$504,E356)=1,ISNUMBER(F356),I356&gt;=0,ISNUMBER(H356),H356&gt;=0),"纳入","待核实"))</f>
        <v/>
      </c>
    </row>
    <row r="357">
      <c r="A357" s="13" t="n"/>
      <c r="B357" s="13" t="n"/>
      <c r="C357" s="13" t="n"/>
      <c r="D357" s="13" t="n"/>
      <c r="E357" s="13" t="n"/>
      <c r="F357" s="19" t="n"/>
      <c r="G357" s="19" t="n"/>
      <c r="H357" s="15" t="n"/>
      <c r="I357">
        <f>IF(OR(A357&lt;&gt; '控制台'!B4,B357&lt;&gt; '控制台'!B5,F357=""),"",DATE(VALUE(LEFT('控制台'!B5,4)),VALUE(RIGHT('控制台'!B5,2))+1,1)-1-F357)</f>
        <v/>
      </c>
      <c r="J357">
        <f>IF(OR(A357&lt;&gt; '控制台'!B4,B357&lt;&gt; '控制台'!B5,G357=""),"",MAX(0,DATE(VALUE(LEFT('控制台'!B5,4)),VALUE(RIGHT('控制台'!B5,2))+1,1)-1-G357))</f>
        <v/>
      </c>
      <c r="K357">
        <f>IF(A357="","",IF(AND(AND('控制台'!B4&lt;&gt;"",'控制台'!B5&lt;&gt;"",'控制台'!B4='刷新信息'!B6,'控制台'!B5='刷新信息'!B8),A357='控制台'!B4,B357='控制台'!B5,OR(C357="应收",C357="应付"),COUNTIFS('往来余额'!A5:A6000,C357,'往来余额'!B5:B6000,D357)=1,E357&lt;&gt;"",COUNTIFS(A$5:A$504,A357,B$5:B$504,B357,C$5:C$504,C357,D$5:D$504,D357,E$5:E$504,E357)=1,ISNUMBER(F357),I357&gt;=0,ISNUMBER(H357),H357&gt;=0),"纳入","待核实"))</f>
        <v/>
      </c>
    </row>
    <row r="358">
      <c r="A358" s="13" t="n"/>
      <c r="B358" s="13" t="n"/>
      <c r="C358" s="13" t="n"/>
      <c r="D358" s="13" t="n"/>
      <c r="E358" s="13" t="n"/>
      <c r="F358" s="19" t="n"/>
      <c r="G358" s="19" t="n"/>
      <c r="H358" s="15" t="n"/>
      <c r="I358">
        <f>IF(OR(A358&lt;&gt; '控制台'!B4,B358&lt;&gt; '控制台'!B5,F358=""),"",DATE(VALUE(LEFT('控制台'!B5,4)),VALUE(RIGHT('控制台'!B5,2))+1,1)-1-F358)</f>
        <v/>
      </c>
      <c r="J358">
        <f>IF(OR(A358&lt;&gt; '控制台'!B4,B358&lt;&gt; '控制台'!B5,G358=""),"",MAX(0,DATE(VALUE(LEFT('控制台'!B5,4)),VALUE(RIGHT('控制台'!B5,2))+1,1)-1-G358))</f>
        <v/>
      </c>
      <c r="K358">
        <f>IF(A358="","",IF(AND(AND('控制台'!B4&lt;&gt;"",'控制台'!B5&lt;&gt;"",'控制台'!B4='刷新信息'!B6,'控制台'!B5='刷新信息'!B8),A358='控制台'!B4,B358='控制台'!B5,OR(C358="应收",C358="应付"),COUNTIFS('往来余额'!A5:A6000,C358,'往来余额'!B5:B6000,D358)=1,E358&lt;&gt;"",COUNTIFS(A$5:A$504,A358,B$5:B$504,B358,C$5:C$504,C358,D$5:D$504,D358,E$5:E$504,E358)=1,ISNUMBER(F358),I358&gt;=0,ISNUMBER(H358),H358&gt;=0),"纳入","待核实"))</f>
        <v/>
      </c>
    </row>
    <row r="359">
      <c r="A359" s="13" t="n"/>
      <c r="B359" s="13" t="n"/>
      <c r="C359" s="13" t="n"/>
      <c r="D359" s="13" t="n"/>
      <c r="E359" s="13" t="n"/>
      <c r="F359" s="19" t="n"/>
      <c r="G359" s="19" t="n"/>
      <c r="H359" s="15" t="n"/>
      <c r="I359">
        <f>IF(OR(A359&lt;&gt; '控制台'!B4,B359&lt;&gt; '控制台'!B5,F359=""),"",DATE(VALUE(LEFT('控制台'!B5,4)),VALUE(RIGHT('控制台'!B5,2))+1,1)-1-F359)</f>
        <v/>
      </c>
      <c r="J359">
        <f>IF(OR(A359&lt;&gt; '控制台'!B4,B359&lt;&gt; '控制台'!B5,G359=""),"",MAX(0,DATE(VALUE(LEFT('控制台'!B5,4)),VALUE(RIGHT('控制台'!B5,2))+1,1)-1-G359))</f>
        <v/>
      </c>
      <c r="K359">
        <f>IF(A359="","",IF(AND(AND('控制台'!B4&lt;&gt;"",'控制台'!B5&lt;&gt;"",'控制台'!B4='刷新信息'!B6,'控制台'!B5='刷新信息'!B8),A359='控制台'!B4,B359='控制台'!B5,OR(C359="应收",C359="应付"),COUNTIFS('往来余额'!A5:A6000,C359,'往来余额'!B5:B6000,D359)=1,E359&lt;&gt;"",COUNTIFS(A$5:A$504,A359,B$5:B$504,B359,C$5:C$504,C359,D$5:D$504,D359,E$5:E$504,E359)=1,ISNUMBER(F359),I359&gt;=0,ISNUMBER(H359),H359&gt;=0),"纳入","待核实"))</f>
        <v/>
      </c>
    </row>
    <row r="360">
      <c r="A360" s="13" t="n"/>
      <c r="B360" s="13" t="n"/>
      <c r="C360" s="13" t="n"/>
      <c r="D360" s="13" t="n"/>
      <c r="E360" s="13" t="n"/>
      <c r="F360" s="19" t="n"/>
      <c r="G360" s="19" t="n"/>
      <c r="H360" s="15" t="n"/>
      <c r="I360">
        <f>IF(OR(A360&lt;&gt; '控制台'!B4,B360&lt;&gt; '控制台'!B5,F360=""),"",DATE(VALUE(LEFT('控制台'!B5,4)),VALUE(RIGHT('控制台'!B5,2))+1,1)-1-F360)</f>
        <v/>
      </c>
      <c r="J360">
        <f>IF(OR(A360&lt;&gt; '控制台'!B4,B360&lt;&gt; '控制台'!B5,G360=""),"",MAX(0,DATE(VALUE(LEFT('控制台'!B5,4)),VALUE(RIGHT('控制台'!B5,2))+1,1)-1-G360))</f>
        <v/>
      </c>
      <c r="K360">
        <f>IF(A360="","",IF(AND(AND('控制台'!B4&lt;&gt;"",'控制台'!B5&lt;&gt;"",'控制台'!B4='刷新信息'!B6,'控制台'!B5='刷新信息'!B8),A360='控制台'!B4,B360='控制台'!B5,OR(C360="应收",C360="应付"),COUNTIFS('往来余额'!A5:A6000,C360,'往来余额'!B5:B6000,D360)=1,E360&lt;&gt;"",COUNTIFS(A$5:A$504,A360,B$5:B$504,B360,C$5:C$504,C360,D$5:D$504,D360,E$5:E$504,E360)=1,ISNUMBER(F360),I360&gt;=0,ISNUMBER(H360),H360&gt;=0),"纳入","待核实"))</f>
        <v/>
      </c>
    </row>
    <row r="361">
      <c r="A361" s="13" t="n"/>
      <c r="B361" s="13" t="n"/>
      <c r="C361" s="13" t="n"/>
      <c r="D361" s="13" t="n"/>
      <c r="E361" s="13" t="n"/>
      <c r="F361" s="19" t="n"/>
      <c r="G361" s="19" t="n"/>
      <c r="H361" s="15" t="n"/>
      <c r="I361">
        <f>IF(OR(A361&lt;&gt; '控制台'!B4,B361&lt;&gt; '控制台'!B5,F361=""),"",DATE(VALUE(LEFT('控制台'!B5,4)),VALUE(RIGHT('控制台'!B5,2))+1,1)-1-F361)</f>
        <v/>
      </c>
      <c r="J361">
        <f>IF(OR(A361&lt;&gt; '控制台'!B4,B361&lt;&gt; '控制台'!B5,G361=""),"",MAX(0,DATE(VALUE(LEFT('控制台'!B5,4)),VALUE(RIGHT('控制台'!B5,2))+1,1)-1-G361))</f>
        <v/>
      </c>
      <c r="K361">
        <f>IF(A361="","",IF(AND(AND('控制台'!B4&lt;&gt;"",'控制台'!B5&lt;&gt;"",'控制台'!B4='刷新信息'!B6,'控制台'!B5='刷新信息'!B8),A361='控制台'!B4,B361='控制台'!B5,OR(C361="应收",C361="应付"),COUNTIFS('往来余额'!A5:A6000,C361,'往来余额'!B5:B6000,D361)=1,E361&lt;&gt;"",COUNTIFS(A$5:A$504,A361,B$5:B$504,B361,C$5:C$504,C361,D$5:D$504,D361,E$5:E$504,E361)=1,ISNUMBER(F361),I361&gt;=0,ISNUMBER(H361),H361&gt;=0),"纳入","待核实"))</f>
        <v/>
      </c>
    </row>
    <row r="362">
      <c r="A362" s="13" t="n"/>
      <c r="B362" s="13" t="n"/>
      <c r="C362" s="13" t="n"/>
      <c r="D362" s="13" t="n"/>
      <c r="E362" s="13" t="n"/>
      <c r="F362" s="19" t="n"/>
      <c r="G362" s="19" t="n"/>
      <c r="H362" s="15" t="n"/>
      <c r="I362">
        <f>IF(OR(A362&lt;&gt; '控制台'!B4,B362&lt;&gt; '控制台'!B5,F362=""),"",DATE(VALUE(LEFT('控制台'!B5,4)),VALUE(RIGHT('控制台'!B5,2))+1,1)-1-F362)</f>
        <v/>
      </c>
      <c r="J362">
        <f>IF(OR(A362&lt;&gt; '控制台'!B4,B362&lt;&gt; '控制台'!B5,G362=""),"",MAX(0,DATE(VALUE(LEFT('控制台'!B5,4)),VALUE(RIGHT('控制台'!B5,2))+1,1)-1-G362))</f>
        <v/>
      </c>
      <c r="K362">
        <f>IF(A362="","",IF(AND(AND('控制台'!B4&lt;&gt;"",'控制台'!B5&lt;&gt;"",'控制台'!B4='刷新信息'!B6,'控制台'!B5='刷新信息'!B8),A362='控制台'!B4,B362='控制台'!B5,OR(C362="应收",C362="应付"),COUNTIFS('往来余额'!A5:A6000,C362,'往来余额'!B5:B6000,D362)=1,E362&lt;&gt;"",COUNTIFS(A$5:A$504,A362,B$5:B$504,B362,C$5:C$504,C362,D$5:D$504,D362,E$5:E$504,E362)=1,ISNUMBER(F362),I362&gt;=0,ISNUMBER(H362),H362&gt;=0),"纳入","待核实"))</f>
        <v/>
      </c>
    </row>
    <row r="363">
      <c r="A363" s="13" t="n"/>
      <c r="B363" s="13" t="n"/>
      <c r="C363" s="13" t="n"/>
      <c r="D363" s="13" t="n"/>
      <c r="E363" s="13" t="n"/>
      <c r="F363" s="19" t="n"/>
      <c r="G363" s="19" t="n"/>
      <c r="H363" s="15" t="n"/>
      <c r="I363">
        <f>IF(OR(A363&lt;&gt; '控制台'!B4,B363&lt;&gt; '控制台'!B5,F363=""),"",DATE(VALUE(LEFT('控制台'!B5,4)),VALUE(RIGHT('控制台'!B5,2))+1,1)-1-F363)</f>
        <v/>
      </c>
      <c r="J363">
        <f>IF(OR(A363&lt;&gt; '控制台'!B4,B363&lt;&gt; '控制台'!B5,G363=""),"",MAX(0,DATE(VALUE(LEFT('控制台'!B5,4)),VALUE(RIGHT('控制台'!B5,2))+1,1)-1-G363))</f>
        <v/>
      </c>
      <c r="K363">
        <f>IF(A363="","",IF(AND(AND('控制台'!B4&lt;&gt;"",'控制台'!B5&lt;&gt;"",'控制台'!B4='刷新信息'!B6,'控制台'!B5='刷新信息'!B8),A363='控制台'!B4,B363='控制台'!B5,OR(C363="应收",C363="应付"),COUNTIFS('往来余额'!A5:A6000,C363,'往来余额'!B5:B6000,D363)=1,E363&lt;&gt;"",COUNTIFS(A$5:A$504,A363,B$5:B$504,B363,C$5:C$504,C363,D$5:D$504,D363,E$5:E$504,E363)=1,ISNUMBER(F363),I363&gt;=0,ISNUMBER(H363),H363&gt;=0),"纳入","待核实"))</f>
        <v/>
      </c>
    </row>
    <row r="364">
      <c r="A364" s="13" t="n"/>
      <c r="B364" s="13" t="n"/>
      <c r="C364" s="13" t="n"/>
      <c r="D364" s="13" t="n"/>
      <c r="E364" s="13" t="n"/>
      <c r="F364" s="19" t="n"/>
      <c r="G364" s="19" t="n"/>
      <c r="H364" s="15" t="n"/>
      <c r="I364">
        <f>IF(OR(A364&lt;&gt; '控制台'!B4,B364&lt;&gt; '控制台'!B5,F364=""),"",DATE(VALUE(LEFT('控制台'!B5,4)),VALUE(RIGHT('控制台'!B5,2))+1,1)-1-F364)</f>
        <v/>
      </c>
      <c r="J364">
        <f>IF(OR(A364&lt;&gt; '控制台'!B4,B364&lt;&gt; '控制台'!B5,G364=""),"",MAX(0,DATE(VALUE(LEFT('控制台'!B5,4)),VALUE(RIGHT('控制台'!B5,2))+1,1)-1-G364))</f>
        <v/>
      </c>
      <c r="K364">
        <f>IF(A364="","",IF(AND(AND('控制台'!B4&lt;&gt;"",'控制台'!B5&lt;&gt;"",'控制台'!B4='刷新信息'!B6,'控制台'!B5='刷新信息'!B8),A364='控制台'!B4,B364='控制台'!B5,OR(C364="应收",C364="应付"),COUNTIFS('往来余额'!A5:A6000,C364,'往来余额'!B5:B6000,D364)=1,E364&lt;&gt;"",COUNTIFS(A$5:A$504,A364,B$5:B$504,B364,C$5:C$504,C364,D$5:D$504,D364,E$5:E$504,E364)=1,ISNUMBER(F364),I364&gt;=0,ISNUMBER(H364),H364&gt;=0),"纳入","待核实"))</f>
        <v/>
      </c>
    </row>
    <row r="365">
      <c r="A365" s="13" t="n"/>
      <c r="B365" s="13" t="n"/>
      <c r="C365" s="13" t="n"/>
      <c r="D365" s="13" t="n"/>
      <c r="E365" s="13" t="n"/>
      <c r="F365" s="19" t="n"/>
      <c r="G365" s="19" t="n"/>
      <c r="H365" s="15" t="n"/>
      <c r="I365">
        <f>IF(OR(A365&lt;&gt; '控制台'!B4,B365&lt;&gt; '控制台'!B5,F365=""),"",DATE(VALUE(LEFT('控制台'!B5,4)),VALUE(RIGHT('控制台'!B5,2))+1,1)-1-F365)</f>
        <v/>
      </c>
      <c r="J365">
        <f>IF(OR(A365&lt;&gt; '控制台'!B4,B365&lt;&gt; '控制台'!B5,G365=""),"",MAX(0,DATE(VALUE(LEFT('控制台'!B5,4)),VALUE(RIGHT('控制台'!B5,2))+1,1)-1-G365))</f>
        <v/>
      </c>
      <c r="K365">
        <f>IF(A365="","",IF(AND(AND('控制台'!B4&lt;&gt;"",'控制台'!B5&lt;&gt;"",'控制台'!B4='刷新信息'!B6,'控制台'!B5='刷新信息'!B8),A365='控制台'!B4,B365='控制台'!B5,OR(C365="应收",C365="应付"),COUNTIFS('往来余额'!A5:A6000,C365,'往来余额'!B5:B6000,D365)=1,E365&lt;&gt;"",COUNTIFS(A$5:A$504,A365,B$5:B$504,B365,C$5:C$504,C365,D$5:D$504,D365,E$5:E$504,E365)=1,ISNUMBER(F365),I365&gt;=0,ISNUMBER(H365),H365&gt;=0),"纳入","待核实"))</f>
        <v/>
      </c>
    </row>
    <row r="366">
      <c r="A366" s="13" t="n"/>
      <c r="B366" s="13" t="n"/>
      <c r="C366" s="13" t="n"/>
      <c r="D366" s="13" t="n"/>
      <c r="E366" s="13" t="n"/>
      <c r="F366" s="19" t="n"/>
      <c r="G366" s="19" t="n"/>
      <c r="H366" s="15" t="n"/>
      <c r="I366">
        <f>IF(OR(A366&lt;&gt; '控制台'!B4,B366&lt;&gt; '控制台'!B5,F366=""),"",DATE(VALUE(LEFT('控制台'!B5,4)),VALUE(RIGHT('控制台'!B5,2))+1,1)-1-F366)</f>
        <v/>
      </c>
      <c r="J366">
        <f>IF(OR(A366&lt;&gt; '控制台'!B4,B366&lt;&gt; '控制台'!B5,G366=""),"",MAX(0,DATE(VALUE(LEFT('控制台'!B5,4)),VALUE(RIGHT('控制台'!B5,2))+1,1)-1-G366))</f>
        <v/>
      </c>
      <c r="K366">
        <f>IF(A366="","",IF(AND(AND('控制台'!B4&lt;&gt;"",'控制台'!B5&lt;&gt;"",'控制台'!B4='刷新信息'!B6,'控制台'!B5='刷新信息'!B8),A366='控制台'!B4,B366='控制台'!B5,OR(C366="应收",C366="应付"),COUNTIFS('往来余额'!A5:A6000,C366,'往来余额'!B5:B6000,D366)=1,E366&lt;&gt;"",COUNTIFS(A$5:A$504,A366,B$5:B$504,B366,C$5:C$504,C366,D$5:D$504,D366,E$5:E$504,E366)=1,ISNUMBER(F366),I366&gt;=0,ISNUMBER(H366),H366&gt;=0),"纳入","待核实"))</f>
        <v/>
      </c>
    </row>
    <row r="367">
      <c r="A367" s="13" t="n"/>
      <c r="B367" s="13" t="n"/>
      <c r="C367" s="13" t="n"/>
      <c r="D367" s="13" t="n"/>
      <c r="E367" s="13" t="n"/>
      <c r="F367" s="19" t="n"/>
      <c r="G367" s="19" t="n"/>
      <c r="H367" s="15" t="n"/>
      <c r="I367">
        <f>IF(OR(A367&lt;&gt; '控制台'!B4,B367&lt;&gt; '控制台'!B5,F367=""),"",DATE(VALUE(LEFT('控制台'!B5,4)),VALUE(RIGHT('控制台'!B5,2))+1,1)-1-F367)</f>
        <v/>
      </c>
      <c r="J367">
        <f>IF(OR(A367&lt;&gt; '控制台'!B4,B367&lt;&gt; '控制台'!B5,G367=""),"",MAX(0,DATE(VALUE(LEFT('控制台'!B5,4)),VALUE(RIGHT('控制台'!B5,2))+1,1)-1-G367))</f>
        <v/>
      </c>
      <c r="K367">
        <f>IF(A367="","",IF(AND(AND('控制台'!B4&lt;&gt;"",'控制台'!B5&lt;&gt;"",'控制台'!B4='刷新信息'!B6,'控制台'!B5='刷新信息'!B8),A367='控制台'!B4,B367='控制台'!B5,OR(C367="应收",C367="应付"),COUNTIFS('往来余额'!A5:A6000,C367,'往来余额'!B5:B6000,D367)=1,E367&lt;&gt;"",COUNTIFS(A$5:A$504,A367,B$5:B$504,B367,C$5:C$504,C367,D$5:D$504,D367,E$5:E$504,E367)=1,ISNUMBER(F367),I367&gt;=0,ISNUMBER(H367),H367&gt;=0),"纳入","待核实"))</f>
        <v/>
      </c>
    </row>
    <row r="368">
      <c r="A368" s="13" t="n"/>
      <c r="B368" s="13" t="n"/>
      <c r="C368" s="13" t="n"/>
      <c r="D368" s="13" t="n"/>
      <c r="E368" s="13" t="n"/>
      <c r="F368" s="19" t="n"/>
      <c r="G368" s="19" t="n"/>
      <c r="H368" s="15" t="n"/>
      <c r="I368">
        <f>IF(OR(A368&lt;&gt; '控制台'!B4,B368&lt;&gt; '控制台'!B5,F368=""),"",DATE(VALUE(LEFT('控制台'!B5,4)),VALUE(RIGHT('控制台'!B5,2))+1,1)-1-F368)</f>
        <v/>
      </c>
      <c r="J368">
        <f>IF(OR(A368&lt;&gt; '控制台'!B4,B368&lt;&gt; '控制台'!B5,G368=""),"",MAX(0,DATE(VALUE(LEFT('控制台'!B5,4)),VALUE(RIGHT('控制台'!B5,2))+1,1)-1-G368))</f>
        <v/>
      </c>
      <c r="K368">
        <f>IF(A368="","",IF(AND(AND('控制台'!B4&lt;&gt;"",'控制台'!B5&lt;&gt;"",'控制台'!B4='刷新信息'!B6,'控制台'!B5='刷新信息'!B8),A368='控制台'!B4,B368='控制台'!B5,OR(C368="应收",C368="应付"),COUNTIFS('往来余额'!A5:A6000,C368,'往来余额'!B5:B6000,D368)=1,E368&lt;&gt;"",COUNTIFS(A$5:A$504,A368,B$5:B$504,B368,C$5:C$504,C368,D$5:D$504,D368,E$5:E$504,E368)=1,ISNUMBER(F368),I368&gt;=0,ISNUMBER(H368),H368&gt;=0),"纳入","待核实"))</f>
        <v/>
      </c>
    </row>
    <row r="369">
      <c r="A369" s="13" t="n"/>
      <c r="B369" s="13" t="n"/>
      <c r="C369" s="13" t="n"/>
      <c r="D369" s="13" t="n"/>
      <c r="E369" s="13" t="n"/>
      <c r="F369" s="19" t="n"/>
      <c r="G369" s="19" t="n"/>
      <c r="H369" s="15" t="n"/>
      <c r="I369">
        <f>IF(OR(A369&lt;&gt; '控制台'!B4,B369&lt;&gt; '控制台'!B5,F369=""),"",DATE(VALUE(LEFT('控制台'!B5,4)),VALUE(RIGHT('控制台'!B5,2))+1,1)-1-F369)</f>
        <v/>
      </c>
      <c r="J369">
        <f>IF(OR(A369&lt;&gt; '控制台'!B4,B369&lt;&gt; '控制台'!B5,G369=""),"",MAX(0,DATE(VALUE(LEFT('控制台'!B5,4)),VALUE(RIGHT('控制台'!B5,2))+1,1)-1-G369))</f>
        <v/>
      </c>
      <c r="K369">
        <f>IF(A369="","",IF(AND(AND('控制台'!B4&lt;&gt;"",'控制台'!B5&lt;&gt;"",'控制台'!B4='刷新信息'!B6,'控制台'!B5='刷新信息'!B8),A369='控制台'!B4,B369='控制台'!B5,OR(C369="应收",C369="应付"),COUNTIFS('往来余额'!A5:A6000,C369,'往来余额'!B5:B6000,D369)=1,E369&lt;&gt;"",COUNTIFS(A$5:A$504,A369,B$5:B$504,B369,C$5:C$504,C369,D$5:D$504,D369,E$5:E$504,E369)=1,ISNUMBER(F369),I369&gt;=0,ISNUMBER(H369),H369&gt;=0),"纳入","待核实"))</f>
        <v/>
      </c>
    </row>
    <row r="370">
      <c r="A370" s="13" t="n"/>
      <c r="B370" s="13" t="n"/>
      <c r="C370" s="13" t="n"/>
      <c r="D370" s="13" t="n"/>
      <c r="E370" s="13" t="n"/>
      <c r="F370" s="19" t="n"/>
      <c r="G370" s="19" t="n"/>
      <c r="H370" s="15" t="n"/>
      <c r="I370">
        <f>IF(OR(A370&lt;&gt; '控制台'!B4,B370&lt;&gt; '控制台'!B5,F370=""),"",DATE(VALUE(LEFT('控制台'!B5,4)),VALUE(RIGHT('控制台'!B5,2))+1,1)-1-F370)</f>
        <v/>
      </c>
      <c r="J370">
        <f>IF(OR(A370&lt;&gt; '控制台'!B4,B370&lt;&gt; '控制台'!B5,G370=""),"",MAX(0,DATE(VALUE(LEFT('控制台'!B5,4)),VALUE(RIGHT('控制台'!B5,2))+1,1)-1-G370))</f>
        <v/>
      </c>
      <c r="K370">
        <f>IF(A370="","",IF(AND(AND('控制台'!B4&lt;&gt;"",'控制台'!B5&lt;&gt;"",'控制台'!B4='刷新信息'!B6,'控制台'!B5='刷新信息'!B8),A370='控制台'!B4,B370='控制台'!B5,OR(C370="应收",C370="应付"),COUNTIFS('往来余额'!A5:A6000,C370,'往来余额'!B5:B6000,D370)=1,E370&lt;&gt;"",COUNTIFS(A$5:A$504,A370,B$5:B$504,B370,C$5:C$504,C370,D$5:D$504,D370,E$5:E$504,E370)=1,ISNUMBER(F370),I370&gt;=0,ISNUMBER(H370),H370&gt;=0),"纳入","待核实"))</f>
        <v/>
      </c>
    </row>
    <row r="371">
      <c r="A371" s="13" t="n"/>
      <c r="B371" s="13" t="n"/>
      <c r="C371" s="13" t="n"/>
      <c r="D371" s="13" t="n"/>
      <c r="E371" s="13" t="n"/>
      <c r="F371" s="19" t="n"/>
      <c r="G371" s="19" t="n"/>
      <c r="H371" s="15" t="n"/>
      <c r="I371">
        <f>IF(OR(A371&lt;&gt; '控制台'!B4,B371&lt;&gt; '控制台'!B5,F371=""),"",DATE(VALUE(LEFT('控制台'!B5,4)),VALUE(RIGHT('控制台'!B5,2))+1,1)-1-F371)</f>
        <v/>
      </c>
      <c r="J371">
        <f>IF(OR(A371&lt;&gt; '控制台'!B4,B371&lt;&gt; '控制台'!B5,G371=""),"",MAX(0,DATE(VALUE(LEFT('控制台'!B5,4)),VALUE(RIGHT('控制台'!B5,2))+1,1)-1-G371))</f>
        <v/>
      </c>
      <c r="K371">
        <f>IF(A371="","",IF(AND(AND('控制台'!B4&lt;&gt;"",'控制台'!B5&lt;&gt;"",'控制台'!B4='刷新信息'!B6,'控制台'!B5='刷新信息'!B8),A371='控制台'!B4,B371='控制台'!B5,OR(C371="应收",C371="应付"),COUNTIFS('往来余额'!A5:A6000,C371,'往来余额'!B5:B6000,D371)=1,E371&lt;&gt;"",COUNTIFS(A$5:A$504,A371,B$5:B$504,B371,C$5:C$504,C371,D$5:D$504,D371,E$5:E$504,E371)=1,ISNUMBER(F371),I371&gt;=0,ISNUMBER(H371),H371&gt;=0),"纳入","待核实"))</f>
        <v/>
      </c>
    </row>
    <row r="372">
      <c r="A372" s="13" t="n"/>
      <c r="B372" s="13" t="n"/>
      <c r="C372" s="13" t="n"/>
      <c r="D372" s="13" t="n"/>
      <c r="E372" s="13" t="n"/>
      <c r="F372" s="19" t="n"/>
      <c r="G372" s="19" t="n"/>
      <c r="H372" s="15" t="n"/>
      <c r="I372">
        <f>IF(OR(A372&lt;&gt; '控制台'!B4,B372&lt;&gt; '控制台'!B5,F372=""),"",DATE(VALUE(LEFT('控制台'!B5,4)),VALUE(RIGHT('控制台'!B5,2))+1,1)-1-F372)</f>
        <v/>
      </c>
      <c r="J372">
        <f>IF(OR(A372&lt;&gt; '控制台'!B4,B372&lt;&gt; '控制台'!B5,G372=""),"",MAX(0,DATE(VALUE(LEFT('控制台'!B5,4)),VALUE(RIGHT('控制台'!B5,2))+1,1)-1-G372))</f>
        <v/>
      </c>
      <c r="K372">
        <f>IF(A372="","",IF(AND(AND('控制台'!B4&lt;&gt;"",'控制台'!B5&lt;&gt;"",'控制台'!B4='刷新信息'!B6,'控制台'!B5='刷新信息'!B8),A372='控制台'!B4,B372='控制台'!B5,OR(C372="应收",C372="应付"),COUNTIFS('往来余额'!A5:A6000,C372,'往来余额'!B5:B6000,D372)=1,E372&lt;&gt;"",COUNTIFS(A$5:A$504,A372,B$5:B$504,B372,C$5:C$504,C372,D$5:D$504,D372,E$5:E$504,E372)=1,ISNUMBER(F372),I372&gt;=0,ISNUMBER(H372),H372&gt;=0),"纳入","待核实"))</f>
        <v/>
      </c>
    </row>
    <row r="373">
      <c r="A373" s="13" t="n"/>
      <c r="B373" s="13" t="n"/>
      <c r="C373" s="13" t="n"/>
      <c r="D373" s="13" t="n"/>
      <c r="E373" s="13" t="n"/>
      <c r="F373" s="19" t="n"/>
      <c r="G373" s="19" t="n"/>
      <c r="H373" s="15" t="n"/>
      <c r="I373">
        <f>IF(OR(A373&lt;&gt; '控制台'!B4,B373&lt;&gt; '控制台'!B5,F373=""),"",DATE(VALUE(LEFT('控制台'!B5,4)),VALUE(RIGHT('控制台'!B5,2))+1,1)-1-F373)</f>
        <v/>
      </c>
      <c r="J373">
        <f>IF(OR(A373&lt;&gt; '控制台'!B4,B373&lt;&gt; '控制台'!B5,G373=""),"",MAX(0,DATE(VALUE(LEFT('控制台'!B5,4)),VALUE(RIGHT('控制台'!B5,2))+1,1)-1-G373))</f>
        <v/>
      </c>
      <c r="K373">
        <f>IF(A373="","",IF(AND(AND('控制台'!B4&lt;&gt;"",'控制台'!B5&lt;&gt;"",'控制台'!B4='刷新信息'!B6,'控制台'!B5='刷新信息'!B8),A373='控制台'!B4,B373='控制台'!B5,OR(C373="应收",C373="应付"),COUNTIFS('往来余额'!A5:A6000,C373,'往来余额'!B5:B6000,D373)=1,E373&lt;&gt;"",COUNTIFS(A$5:A$504,A373,B$5:B$504,B373,C$5:C$504,C373,D$5:D$504,D373,E$5:E$504,E373)=1,ISNUMBER(F373),I373&gt;=0,ISNUMBER(H373),H373&gt;=0),"纳入","待核实"))</f>
        <v/>
      </c>
    </row>
    <row r="374">
      <c r="A374" s="13" t="n"/>
      <c r="B374" s="13" t="n"/>
      <c r="C374" s="13" t="n"/>
      <c r="D374" s="13" t="n"/>
      <c r="E374" s="13" t="n"/>
      <c r="F374" s="19" t="n"/>
      <c r="G374" s="19" t="n"/>
      <c r="H374" s="15" t="n"/>
      <c r="I374">
        <f>IF(OR(A374&lt;&gt; '控制台'!B4,B374&lt;&gt; '控制台'!B5,F374=""),"",DATE(VALUE(LEFT('控制台'!B5,4)),VALUE(RIGHT('控制台'!B5,2))+1,1)-1-F374)</f>
        <v/>
      </c>
      <c r="J374">
        <f>IF(OR(A374&lt;&gt; '控制台'!B4,B374&lt;&gt; '控制台'!B5,G374=""),"",MAX(0,DATE(VALUE(LEFT('控制台'!B5,4)),VALUE(RIGHT('控制台'!B5,2))+1,1)-1-G374))</f>
        <v/>
      </c>
      <c r="K374">
        <f>IF(A374="","",IF(AND(AND('控制台'!B4&lt;&gt;"",'控制台'!B5&lt;&gt;"",'控制台'!B4='刷新信息'!B6,'控制台'!B5='刷新信息'!B8),A374='控制台'!B4,B374='控制台'!B5,OR(C374="应收",C374="应付"),COUNTIFS('往来余额'!A5:A6000,C374,'往来余额'!B5:B6000,D374)=1,E374&lt;&gt;"",COUNTIFS(A$5:A$504,A374,B$5:B$504,B374,C$5:C$504,C374,D$5:D$504,D374,E$5:E$504,E374)=1,ISNUMBER(F374),I374&gt;=0,ISNUMBER(H374),H374&gt;=0),"纳入","待核实"))</f>
        <v/>
      </c>
    </row>
    <row r="375">
      <c r="A375" s="13" t="n"/>
      <c r="B375" s="13" t="n"/>
      <c r="C375" s="13" t="n"/>
      <c r="D375" s="13" t="n"/>
      <c r="E375" s="13" t="n"/>
      <c r="F375" s="19" t="n"/>
      <c r="G375" s="19" t="n"/>
      <c r="H375" s="15" t="n"/>
      <c r="I375">
        <f>IF(OR(A375&lt;&gt; '控制台'!B4,B375&lt;&gt; '控制台'!B5,F375=""),"",DATE(VALUE(LEFT('控制台'!B5,4)),VALUE(RIGHT('控制台'!B5,2))+1,1)-1-F375)</f>
        <v/>
      </c>
      <c r="J375">
        <f>IF(OR(A375&lt;&gt; '控制台'!B4,B375&lt;&gt; '控制台'!B5,G375=""),"",MAX(0,DATE(VALUE(LEFT('控制台'!B5,4)),VALUE(RIGHT('控制台'!B5,2))+1,1)-1-G375))</f>
        <v/>
      </c>
      <c r="K375">
        <f>IF(A375="","",IF(AND(AND('控制台'!B4&lt;&gt;"",'控制台'!B5&lt;&gt;"",'控制台'!B4='刷新信息'!B6,'控制台'!B5='刷新信息'!B8),A375='控制台'!B4,B375='控制台'!B5,OR(C375="应收",C375="应付"),COUNTIFS('往来余额'!A5:A6000,C375,'往来余额'!B5:B6000,D375)=1,E375&lt;&gt;"",COUNTIFS(A$5:A$504,A375,B$5:B$504,B375,C$5:C$504,C375,D$5:D$504,D375,E$5:E$504,E375)=1,ISNUMBER(F375),I375&gt;=0,ISNUMBER(H375),H375&gt;=0),"纳入","待核实"))</f>
        <v/>
      </c>
    </row>
    <row r="376">
      <c r="A376" s="13" t="n"/>
      <c r="B376" s="13" t="n"/>
      <c r="C376" s="13" t="n"/>
      <c r="D376" s="13" t="n"/>
      <c r="E376" s="13" t="n"/>
      <c r="F376" s="19" t="n"/>
      <c r="G376" s="19" t="n"/>
      <c r="H376" s="15" t="n"/>
      <c r="I376">
        <f>IF(OR(A376&lt;&gt; '控制台'!B4,B376&lt;&gt; '控制台'!B5,F376=""),"",DATE(VALUE(LEFT('控制台'!B5,4)),VALUE(RIGHT('控制台'!B5,2))+1,1)-1-F376)</f>
        <v/>
      </c>
      <c r="J376">
        <f>IF(OR(A376&lt;&gt; '控制台'!B4,B376&lt;&gt; '控制台'!B5,G376=""),"",MAX(0,DATE(VALUE(LEFT('控制台'!B5,4)),VALUE(RIGHT('控制台'!B5,2))+1,1)-1-G376))</f>
        <v/>
      </c>
      <c r="K376">
        <f>IF(A376="","",IF(AND(AND('控制台'!B4&lt;&gt;"",'控制台'!B5&lt;&gt;"",'控制台'!B4='刷新信息'!B6,'控制台'!B5='刷新信息'!B8),A376='控制台'!B4,B376='控制台'!B5,OR(C376="应收",C376="应付"),COUNTIFS('往来余额'!A5:A6000,C376,'往来余额'!B5:B6000,D376)=1,E376&lt;&gt;"",COUNTIFS(A$5:A$504,A376,B$5:B$504,B376,C$5:C$504,C376,D$5:D$504,D376,E$5:E$504,E376)=1,ISNUMBER(F376),I376&gt;=0,ISNUMBER(H376),H376&gt;=0),"纳入","待核实"))</f>
        <v/>
      </c>
    </row>
    <row r="377">
      <c r="A377" s="13" t="n"/>
      <c r="B377" s="13" t="n"/>
      <c r="C377" s="13" t="n"/>
      <c r="D377" s="13" t="n"/>
      <c r="E377" s="13" t="n"/>
      <c r="F377" s="19" t="n"/>
      <c r="G377" s="19" t="n"/>
      <c r="H377" s="15" t="n"/>
      <c r="I377">
        <f>IF(OR(A377&lt;&gt; '控制台'!B4,B377&lt;&gt; '控制台'!B5,F377=""),"",DATE(VALUE(LEFT('控制台'!B5,4)),VALUE(RIGHT('控制台'!B5,2))+1,1)-1-F377)</f>
        <v/>
      </c>
      <c r="J377">
        <f>IF(OR(A377&lt;&gt; '控制台'!B4,B377&lt;&gt; '控制台'!B5,G377=""),"",MAX(0,DATE(VALUE(LEFT('控制台'!B5,4)),VALUE(RIGHT('控制台'!B5,2))+1,1)-1-G377))</f>
        <v/>
      </c>
      <c r="K377">
        <f>IF(A377="","",IF(AND(AND('控制台'!B4&lt;&gt;"",'控制台'!B5&lt;&gt;"",'控制台'!B4='刷新信息'!B6,'控制台'!B5='刷新信息'!B8),A377='控制台'!B4,B377='控制台'!B5,OR(C377="应收",C377="应付"),COUNTIFS('往来余额'!A5:A6000,C377,'往来余额'!B5:B6000,D377)=1,E377&lt;&gt;"",COUNTIFS(A$5:A$504,A377,B$5:B$504,B377,C$5:C$504,C377,D$5:D$504,D377,E$5:E$504,E377)=1,ISNUMBER(F377),I377&gt;=0,ISNUMBER(H377),H377&gt;=0),"纳入","待核实"))</f>
        <v/>
      </c>
    </row>
    <row r="378">
      <c r="A378" s="13" t="n"/>
      <c r="B378" s="13" t="n"/>
      <c r="C378" s="13" t="n"/>
      <c r="D378" s="13" t="n"/>
      <c r="E378" s="13" t="n"/>
      <c r="F378" s="19" t="n"/>
      <c r="G378" s="19" t="n"/>
      <c r="H378" s="15" t="n"/>
      <c r="I378">
        <f>IF(OR(A378&lt;&gt; '控制台'!B4,B378&lt;&gt; '控制台'!B5,F378=""),"",DATE(VALUE(LEFT('控制台'!B5,4)),VALUE(RIGHT('控制台'!B5,2))+1,1)-1-F378)</f>
        <v/>
      </c>
      <c r="J378">
        <f>IF(OR(A378&lt;&gt; '控制台'!B4,B378&lt;&gt; '控制台'!B5,G378=""),"",MAX(0,DATE(VALUE(LEFT('控制台'!B5,4)),VALUE(RIGHT('控制台'!B5,2))+1,1)-1-G378))</f>
        <v/>
      </c>
      <c r="K378">
        <f>IF(A378="","",IF(AND(AND('控制台'!B4&lt;&gt;"",'控制台'!B5&lt;&gt;"",'控制台'!B4='刷新信息'!B6,'控制台'!B5='刷新信息'!B8),A378='控制台'!B4,B378='控制台'!B5,OR(C378="应收",C378="应付"),COUNTIFS('往来余额'!A5:A6000,C378,'往来余额'!B5:B6000,D378)=1,E378&lt;&gt;"",COUNTIFS(A$5:A$504,A378,B$5:B$504,B378,C$5:C$504,C378,D$5:D$504,D378,E$5:E$504,E378)=1,ISNUMBER(F378),I378&gt;=0,ISNUMBER(H378),H378&gt;=0),"纳入","待核实"))</f>
        <v/>
      </c>
    </row>
    <row r="379">
      <c r="A379" s="13" t="n"/>
      <c r="B379" s="13" t="n"/>
      <c r="C379" s="13" t="n"/>
      <c r="D379" s="13" t="n"/>
      <c r="E379" s="13" t="n"/>
      <c r="F379" s="19" t="n"/>
      <c r="G379" s="19" t="n"/>
      <c r="H379" s="15" t="n"/>
      <c r="I379">
        <f>IF(OR(A379&lt;&gt; '控制台'!B4,B379&lt;&gt; '控制台'!B5,F379=""),"",DATE(VALUE(LEFT('控制台'!B5,4)),VALUE(RIGHT('控制台'!B5,2))+1,1)-1-F379)</f>
        <v/>
      </c>
      <c r="J379">
        <f>IF(OR(A379&lt;&gt; '控制台'!B4,B379&lt;&gt; '控制台'!B5,G379=""),"",MAX(0,DATE(VALUE(LEFT('控制台'!B5,4)),VALUE(RIGHT('控制台'!B5,2))+1,1)-1-G379))</f>
        <v/>
      </c>
      <c r="K379">
        <f>IF(A379="","",IF(AND(AND('控制台'!B4&lt;&gt;"",'控制台'!B5&lt;&gt;"",'控制台'!B4='刷新信息'!B6,'控制台'!B5='刷新信息'!B8),A379='控制台'!B4,B379='控制台'!B5,OR(C379="应收",C379="应付"),COUNTIFS('往来余额'!A5:A6000,C379,'往来余额'!B5:B6000,D379)=1,E379&lt;&gt;"",COUNTIFS(A$5:A$504,A379,B$5:B$504,B379,C$5:C$504,C379,D$5:D$504,D379,E$5:E$504,E379)=1,ISNUMBER(F379),I379&gt;=0,ISNUMBER(H379),H379&gt;=0),"纳入","待核实"))</f>
        <v/>
      </c>
    </row>
    <row r="380">
      <c r="A380" s="13" t="n"/>
      <c r="B380" s="13" t="n"/>
      <c r="C380" s="13" t="n"/>
      <c r="D380" s="13" t="n"/>
      <c r="E380" s="13" t="n"/>
      <c r="F380" s="19" t="n"/>
      <c r="G380" s="19" t="n"/>
      <c r="H380" s="15" t="n"/>
      <c r="I380">
        <f>IF(OR(A380&lt;&gt; '控制台'!B4,B380&lt;&gt; '控制台'!B5,F380=""),"",DATE(VALUE(LEFT('控制台'!B5,4)),VALUE(RIGHT('控制台'!B5,2))+1,1)-1-F380)</f>
        <v/>
      </c>
      <c r="J380">
        <f>IF(OR(A380&lt;&gt; '控制台'!B4,B380&lt;&gt; '控制台'!B5,G380=""),"",MAX(0,DATE(VALUE(LEFT('控制台'!B5,4)),VALUE(RIGHT('控制台'!B5,2))+1,1)-1-G380))</f>
        <v/>
      </c>
      <c r="K380">
        <f>IF(A380="","",IF(AND(AND('控制台'!B4&lt;&gt;"",'控制台'!B5&lt;&gt;"",'控制台'!B4='刷新信息'!B6,'控制台'!B5='刷新信息'!B8),A380='控制台'!B4,B380='控制台'!B5,OR(C380="应收",C380="应付"),COUNTIFS('往来余额'!A5:A6000,C380,'往来余额'!B5:B6000,D380)=1,E380&lt;&gt;"",COUNTIFS(A$5:A$504,A380,B$5:B$504,B380,C$5:C$504,C380,D$5:D$504,D380,E$5:E$504,E380)=1,ISNUMBER(F380),I380&gt;=0,ISNUMBER(H380),H380&gt;=0),"纳入","待核实"))</f>
        <v/>
      </c>
    </row>
    <row r="381">
      <c r="A381" s="13" t="n"/>
      <c r="B381" s="13" t="n"/>
      <c r="C381" s="13" t="n"/>
      <c r="D381" s="13" t="n"/>
      <c r="E381" s="13" t="n"/>
      <c r="F381" s="19" t="n"/>
      <c r="G381" s="19" t="n"/>
      <c r="H381" s="15" t="n"/>
      <c r="I381">
        <f>IF(OR(A381&lt;&gt; '控制台'!B4,B381&lt;&gt; '控制台'!B5,F381=""),"",DATE(VALUE(LEFT('控制台'!B5,4)),VALUE(RIGHT('控制台'!B5,2))+1,1)-1-F381)</f>
        <v/>
      </c>
      <c r="J381">
        <f>IF(OR(A381&lt;&gt; '控制台'!B4,B381&lt;&gt; '控制台'!B5,G381=""),"",MAX(0,DATE(VALUE(LEFT('控制台'!B5,4)),VALUE(RIGHT('控制台'!B5,2))+1,1)-1-G381))</f>
        <v/>
      </c>
      <c r="K381">
        <f>IF(A381="","",IF(AND(AND('控制台'!B4&lt;&gt;"",'控制台'!B5&lt;&gt;"",'控制台'!B4='刷新信息'!B6,'控制台'!B5='刷新信息'!B8),A381='控制台'!B4,B381='控制台'!B5,OR(C381="应收",C381="应付"),COUNTIFS('往来余额'!A5:A6000,C381,'往来余额'!B5:B6000,D381)=1,E381&lt;&gt;"",COUNTIFS(A$5:A$504,A381,B$5:B$504,B381,C$5:C$504,C381,D$5:D$504,D381,E$5:E$504,E381)=1,ISNUMBER(F381),I381&gt;=0,ISNUMBER(H381),H381&gt;=0),"纳入","待核实"))</f>
        <v/>
      </c>
    </row>
    <row r="382">
      <c r="A382" s="13" t="n"/>
      <c r="B382" s="13" t="n"/>
      <c r="C382" s="13" t="n"/>
      <c r="D382" s="13" t="n"/>
      <c r="E382" s="13" t="n"/>
      <c r="F382" s="19" t="n"/>
      <c r="G382" s="19" t="n"/>
      <c r="H382" s="15" t="n"/>
      <c r="I382">
        <f>IF(OR(A382&lt;&gt; '控制台'!B4,B382&lt;&gt; '控制台'!B5,F382=""),"",DATE(VALUE(LEFT('控制台'!B5,4)),VALUE(RIGHT('控制台'!B5,2))+1,1)-1-F382)</f>
        <v/>
      </c>
      <c r="J382">
        <f>IF(OR(A382&lt;&gt; '控制台'!B4,B382&lt;&gt; '控制台'!B5,G382=""),"",MAX(0,DATE(VALUE(LEFT('控制台'!B5,4)),VALUE(RIGHT('控制台'!B5,2))+1,1)-1-G382))</f>
        <v/>
      </c>
      <c r="K382">
        <f>IF(A382="","",IF(AND(AND('控制台'!B4&lt;&gt;"",'控制台'!B5&lt;&gt;"",'控制台'!B4='刷新信息'!B6,'控制台'!B5='刷新信息'!B8),A382='控制台'!B4,B382='控制台'!B5,OR(C382="应收",C382="应付"),COUNTIFS('往来余额'!A5:A6000,C382,'往来余额'!B5:B6000,D382)=1,E382&lt;&gt;"",COUNTIFS(A$5:A$504,A382,B$5:B$504,B382,C$5:C$504,C382,D$5:D$504,D382,E$5:E$504,E382)=1,ISNUMBER(F382),I382&gt;=0,ISNUMBER(H382),H382&gt;=0),"纳入","待核实"))</f>
        <v/>
      </c>
    </row>
    <row r="383">
      <c r="A383" s="13" t="n"/>
      <c r="B383" s="13" t="n"/>
      <c r="C383" s="13" t="n"/>
      <c r="D383" s="13" t="n"/>
      <c r="E383" s="13" t="n"/>
      <c r="F383" s="19" t="n"/>
      <c r="G383" s="19" t="n"/>
      <c r="H383" s="15" t="n"/>
      <c r="I383">
        <f>IF(OR(A383&lt;&gt; '控制台'!B4,B383&lt;&gt; '控制台'!B5,F383=""),"",DATE(VALUE(LEFT('控制台'!B5,4)),VALUE(RIGHT('控制台'!B5,2))+1,1)-1-F383)</f>
        <v/>
      </c>
      <c r="J383">
        <f>IF(OR(A383&lt;&gt; '控制台'!B4,B383&lt;&gt; '控制台'!B5,G383=""),"",MAX(0,DATE(VALUE(LEFT('控制台'!B5,4)),VALUE(RIGHT('控制台'!B5,2))+1,1)-1-G383))</f>
        <v/>
      </c>
      <c r="K383">
        <f>IF(A383="","",IF(AND(AND('控制台'!B4&lt;&gt;"",'控制台'!B5&lt;&gt;"",'控制台'!B4='刷新信息'!B6,'控制台'!B5='刷新信息'!B8),A383='控制台'!B4,B383='控制台'!B5,OR(C383="应收",C383="应付"),COUNTIFS('往来余额'!A5:A6000,C383,'往来余额'!B5:B6000,D383)=1,E383&lt;&gt;"",COUNTIFS(A$5:A$504,A383,B$5:B$504,B383,C$5:C$504,C383,D$5:D$504,D383,E$5:E$504,E383)=1,ISNUMBER(F383),I383&gt;=0,ISNUMBER(H383),H383&gt;=0),"纳入","待核实"))</f>
        <v/>
      </c>
    </row>
    <row r="384">
      <c r="A384" s="13" t="n"/>
      <c r="B384" s="13" t="n"/>
      <c r="C384" s="13" t="n"/>
      <c r="D384" s="13" t="n"/>
      <c r="E384" s="13" t="n"/>
      <c r="F384" s="19" t="n"/>
      <c r="G384" s="19" t="n"/>
      <c r="H384" s="15" t="n"/>
      <c r="I384">
        <f>IF(OR(A384&lt;&gt; '控制台'!B4,B384&lt;&gt; '控制台'!B5,F384=""),"",DATE(VALUE(LEFT('控制台'!B5,4)),VALUE(RIGHT('控制台'!B5,2))+1,1)-1-F384)</f>
        <v/>
      </c>
      <c r="J384">
        <f>IF(OR(A384&lt;&gt; '控制台'!B4,B384&lt;&gt; '控制台'!B5,G384=""),"",MAX(0,DATE(VALUE(LEFT('控制台'!B5,4)),VALUE(RIGHT('控制台'!B5,2))+1,1)-1-G384))</f>
        <v/>
      </c>
      <c r="K384">
        <f>IF(A384="","",IF(AND(AND('控制台'!B4&lt;&gt;"",'控制台'!B5&lt;&gt;"",'控制台'!B4='刷新信息'!B6,'控制台'!B5='刷新信息'!B8),A384='控制台'!B4,B384='控制台'!B5,OR(C384="应收",C384="应付"),COUNTIFS('往来余额'!A5:A6000,C384,'往来余额'!B5:B6000,D384)=1,E384&lt;&gt;"",COUNTIFS(A$5:A$504,A384,B$5:B$504,B384,C$5:C$504,C384,D$5:D$504,D384,E$5:E$504,E384)=1,ISNUMBER(F384),I384&gt;=0,ISNUMBER(H384),H384&gt;=0),"纳入","待核实"))</f>
        <v/>
      </c>
    </row>
    <row r="385">
      <c r="A385" s="13" t="n"/>
      <c r="B385" s="13" t="n"/>
      <c r="C385" s="13" t="n"/>
      <c r="D385" s="13" t="n"/>
      <c r="E385" s="13" t="n"/>
      <c r="F385" s="19" t="n"/>
      <c r="G385" s="19" t="n"/>
      <c r="H385" s="15" t="n"/>
      <c r="I385">
        <f>IF(OR(A385&lt;&gt; '控制台'!B4,B385&lt;&gt; '控制台'!B5,F385=""),"",DATE(VALUE(LEFT('控制台'!B5,4)),VALUE(RIGHT('控制台'!B5,2))+1,1)-1-F385)</f>
        <v/>
      </c>
      <c r="J385">
        <f>IF(OR(A385&lt;&gt; '控制台'!B4,B385&lt;&gt; '控制台'!B5,G385=""),"",MAX(0,DATE(VALUE(LEFT('控制台'!B5,4)),VALUE(RIGHT('控制台'!B5,2))+1,1)-1-G385))</f>
        <v/>
      </c>
      <c r="K385">
        <f>IF(A385="","",IF(AND(AND('控制台'!B4&lt;&gt;"",'控制台'!B5&lt;&gt;"",'控制台'!B4='刷新信息'!B6,'控制台'!B5='刷新信息'!B8),A385='控制台'!B4,B385='控制台'!B5,OR(C385="应收",C385="应付"),COUNTIFS('往来余额'!A5:A6000,C385,'往来余额'!B5:B6000,D385)=1,E385&lt;&gt;"",COUNTIFS(A$5:A$504,A385,B$5:B$504,B385,C$5:C$504,C385,D$5:D$504,D385,E$5:E$504,E385)=1,ISNUMBER(F385),I385&gt;=0,ISNUMBER(H385),H385&gt;=0),"纳入","待核实"))</f>
        <v/>
      </c>
    </row>
    <row r="386">
      <c r="A386" s="13" t="n"/>
      <c r="B386" s="13" t="n"/>
      <c r="C386" s="13" t="n"/>
      <c r="D386" s="13" t="n"/>
      <c r="E386" s="13" t="n"/>
      <c r="F386" s="19" t="n"/>
      <c r="G386" s="19" t="n"/>
      <c r="H386" s="15" t="n"/>
      <c r="I386">
        <f>IF(OR(A386&lt;&gt; '控制台'!B4,B386&lt;&gt; '控制台'!B5,F386=""),"",DATE(VALUE(LEFT('控制台'!B5,4)),VALUE(RIGHT('控制台'!B5,2))+1,1)-1-F386)</f>
        <v/>
      </c>
      <c r="J386">
        <f>IF(OR(A386&lt;&gt; '控制台'!B4,B386&lt;&gt; '控制台'!B5,G386=""),"",MAX(0,DATE(VALUE(LEFT('控制台'!B5,4)),VALUE(RIGHT('控制台'!B5,2))+1,1)-1-G386))</f>
        <v/>
      </c>
      <c r="K386">
        <f>IF(A386="","",IF(AND(AND('控制台'!B4&lt;&gt;"",'控制台'!B5&lt;&gt;"",'控制台'!B4='刷新信息'!B6,'控制台'!B5='刷新信息'!B8),A386='控制台'!B4,B386='控制台'!B5,OR(C386="应收",C386="应付"),COUNTIFS('往来余额'!A5:A6000,C386,'往来余额'!B5:B6000,D386)=1,E386&lt;&gt;"",COUNTIFS(A$5:A$504,A386,B$5:B$504,B386,C$5:C$504,C386,D$5:D$504,D386,E$5:E$504,E386)=1,ISNUMBER(F386),I386&gt;=0,ISNUMBER(H386),H386&gt;=0),"纳入","待核实"))</f>
        <v/>
      </c>
    </row>
    <row r="387">
      <c r="A387" s="13" t="n"/>
      <c r="B387" s="13" t="n"/>
      <c r="C387" s="13" t="n"/>
      <c r="D387" s="13" t="n"/>
      <c r="E387" s="13" t="n"/>
      <c r="F387" s="19" t="n"/>
      <c r="G387" s="19" t="n"/>
      <c r="H387" s="15" t="n"/>
      <c r="I387">
        <f>IF(OR(A387&lt;&gt; '控制台'!B4,B387&lt;&gt; '控制台'!B5,F387=""),"",DATE(VALUE(LEFT('控制台'!B5,4)),VALUE(RIGHT('控制台'!B5,2))+1,1)-1-F387)</f>
        <v/>
      </c>
      <c r="J387">
        <f>IF(OR(A387&lt;&gt; '控制台'!B4,B387&lt;&gt; '控制台'!B5,G387=""),"",MAX(0,DATE(VALUE(LEFT('控制台'!B5,4)),VALUE(RIGHT('控制台'!B5,2))+1,1)-1-G387))</f>
        <v/>
      </c>
      <c r="K387">
        <f>IF(A387="","",IF(AND(AND('控制台'!B4&lt;&gt;"",'控制台'!B5&lt;&gt;"",'控制台'!B4='刷新信息'!B6,'控制台'!B5='刷新信息'!B8),A387='控制台'!B4,B387='控制台'!B5,OR(C387="应收",C387="应付"),COUNTIFS('往来余额'!A5:A6000,C387,'往来余额'!B5:B6000,D387)=1,E387&lt;&gt;"",COUNTIFS(A$5:A$504,A387,B$5:B$504,B387,C$5:C$504,C387,D$5:D$504,D387,E$5:E$504,E387)=1,ISNUMBER(F387),I387&gt;=0,ISNUMBER(H387),H387&gt;=0),"纳入","待核实"))</f>
        <v/>
      </c>
    </row>
    <row r="388">
      <c r="A388" s="13" t="n"/>
      <c r="B388" s="13" t="n"/>
      <c r="C388" s="13" t="n"/>
      <c r="D388" s="13" t="n"/>
      <c r="E388" s="13" t="n"/>
      <c r="F388" s="19" t="n"/>
      <c r="G388" s="19" t="n"/>
      <c r="H388" s="15" t="n"/>
      <c r="I388">
        <f>IF(OR(A388&lt;&gt; '控制台'!B4,B388&lt;&gt; '控制台'!B5,F388=""),"",DATE(VALUE(LEFT('控制台'!B5,4)),VALUE(RIGHT('控制台'!B5,2))+1,1)-1-F388)</f>
        <v/>
      </c>
      <c r="J388">
        <f>IF(OR(A388&lt;&gt; '控制台'!B4,B388&lt;&gt; '控制台'!B5,G388=""),"",MAX(0,DATE(VALUE(LEFT('控制台'!B5,4)),VALUE(RIGHT('控制台'!B5,2))+1,1)-1-G388))</f>
        <v/>
      </c>
      <c r="K388">
        <f>IF(A388="","",IF(AND(AND('控制台'!B4&lt;&gt;"",'控制台'!B5&lt;&gt;"",'控制台'!B4='刷新信息'!B6,'控制台'!B5='刷新信息'!B8),A388='控制台'!B4,B388='控制台'!B5,OR(C388="应收",C388="应付"),COUNTIFS('往来余额'!A5:A6000,C388,'往来余额'!B5:B6000,D388)=1,E388&lt;&gt;"",COUNTIFS(A$5:A$504,A388,B$5:B$504,B388,C$5:C$504,C388,D$5:D$504,D388,E$5:E$504,E388)=1,ISNUMBER(F388),I388&gt;=0,ISNUMBER(H388),H388&gt;=0),"纳入","待核实"))</f>
        <v/>
      </c>
    </row>
    <row r="389">
      <c r="A389" s="13" t="n"/>
      <c r="B389" s="13" t="n"/>
      <c r="C389" s="13" t="n"/>
      <c r="D389" s="13" t="n"/>
      <c r="E389" s="13" t="n"/>
      <c r="F389" s="19" t="n"/>
      <c r="G389" s="19" t="n"/>
      <c r="H389" s="15" t="n"/>
      <c r="I389">
        <f>IF(OR(A389&lt;&gt; '控制台'!B4,B389&lt;&gt; '控制台'!B5,F389=""),"",DATE(VALUE(LEFT('控制台'!B5,4)),VALUE(RIGHT('控制台'!B5,2))+1,1)-1-F389)</f>
        <v/>
      </c>
      <c r="J389">
        <f>IF(OR(A389&lt;&gt; '控制台'!B4,B389&lt;&gt; '控制台'!B5,G389=""),"",MAX(0,DATE(VALUE(LEFT('控制台'!B5,4)),VALUE(RIGHT('控制台'!B5,2))+1,1)-1-G389))</f>
        <v/>
      </c>
      <c r="K389">
        <f>IF(A389="","",IF(AND(AND('控制台'!B4&lt;&gt;"",'控制台'!B5&lt;&gt;"",'控制台'!B4='刷新信息'!B6,'控制台'!B5='刷新信息'!B8),A389='控制台'!B4,B389='控制台'!B5,OR(C389="应收",C389="应付"),COUNTIFS('往来余额'!A5:A6000,C389,'往来余额'!B5:B6000,D389)=1,E389&lt;&gt;"",COUNTIFS(A$5:A$504,A389,B$5:B$504,B389,C$5:C$504,C389,D$5:D$504,D389,E$5:E$504,E389)=1,ISNUMBER(F389),I389&gt;=0,ISNUMBER(H389),H389&gt;=0),"纳入","待核实"))</f>
        <v/>
      </c>
    </row>
    <row r="390">
      <c r="A390" s="13" t="n"/>
      <c r="B390" s="13" t="n"/>
      <c r="C390" s="13" t="n"/>
      <c r="D390" s="13" t="n"/>
      <c r="E390" s="13" t="n"/>
      <c r="F390" s="19" t="n"/>
      <c r="G390" s="19" t="n"/>
      <c r="H390" s="15" t="n"/>
      <c r="I390">
        <f>IF(OR(A390&lt;&gt; '控制台'!B4,B390&lt;&gt; '控制台'!B5,F390=""),"",DATE(VALUE(LEFT('控制台'!B5,4)),VALUE(RIGHT('控制台'!B5,2))+1,1)-1-F390)</f>
        <v/>
      </c>
      <c r="J390">
        <f>IF(OR(A390&lt;&gt; '控制台'!B4,B390&lt;&gt; '控制台'!B5,G390=""),"",MAX(0,DATE(VALUE(LEFT('控制台'!B5,4)),VALUE(RIGHT('控制台'!B5,2))+1,1)-1-G390))</f>
        <v/>
      </c>
      <c r="K390">
        <f>IF(A390="","",IF(AND(AND('控制台'!B4&lt;&gt;"",'控制台'!B5&lt;&gt;"",'控制台'!B4='刷新信息'!B6,'控制台'!B5='刷新信息'!B8),A390='控制台'!B4,B390='控制台'!B5,OR(C390="应收",C390="应付"),COUNTIFS('往来余额'!A5:A6000,C390,'往来余额'!B5:B6000,D390)=1,E390&lt;&gt;"",COUNTIFS(A$5:A$504,A390,B$5:B$504,B390,C$5:C$504,C390,D$5:D$504,D390,E$5:E$504,E390)=1,ISNUMBER(F390),I390&gt;=0,ISNUMBER(H390),H390&gt;=0),"纳入","待核实"))</f>
        <v/>
      </c>
    </row>
    <row r="391">
      <c r="A391" s="13" t="n"/>
      <c r="B391" s="13" t="n"/>
      <c r="C391" s="13" t="n"/>
      <c r="D391" s="13" t="n"/>
      <c r="E391" s="13" t="n"/>
      <c r="F391" s="19" t="n"/>
      <c r="G391" s="19" t="n"/>
      <c r="H391" s="15" t="n"/>
      <c r="I391">
        <f>IF(OR(A391&lt;&gt; '控制台'!B4,B391&lt;&gt; '控制台'!B5,F391=""),"",DATE(VALUE(LEFT('控制台'!B5,4)),VALUE(RIGHT('控制台'!B5,2))+1,1)-1-F391)</f>
        <v/>
      </c>
      <c r="J391">
        <f>IF(OR(A391&lt;&gt; '控制台'!B4,B391&lt;&gt; '控制台'!B5,G391=""),"",MAX(0,DATE(VALUE(LEFT('控制台'!B5,4)),VALUE(RIGHT('控制台'!B5,2))+1,1)-1-G391))</f>
        <v/>
      </c>
      <c r="K391">
        <f>IF(A391="","",IF(AND(AND('控制台'!B4&lt;&gt;"",'控制台'!B5&lt;&gt;"",'控制台'!B4='刷新信息'!B6,'控制台'!B5='刷新信息'!B8),A391='控制台'!B4,B391='控制台'!B5,OR(C391="应收",C391="应付"),COUNTIFS('往来余额'!A5:A6000,C391,'往来余额'!B5:B6000,D391)=1,E391&lt;&gt;"",COUNTIFS(A$5:A$504,A391,B$5:B$504,B391,C$5:C$504,C391,D$5:D$504,D391,E$5:E$504,E391)=1,ISNUMBER(F391),I391&gt;=0,ISNUMBER(H391),H391&gt;=0),"纳入","待核实"))</f>
        <v/>
      </c>
    </row>
    <row r="392">
      <c r="A392" s="13" t="n"/>
      <c r="B392" s="13" t="n"/>
      <c r="C392" s="13" t="n"/>
      <c r="D392" s="13" t="n"/>
      <c r="E392" s="13" t="n"/>
      <c r="F392" s="19" t="n"/>
      <c r="G392" s="19" t="n"/>
      <c r="H392" s="15" t="n"/>
      <c r="I392">
        <f>IF(OR(A392&lt;&gt; '控制台'!B4,B392&lt;&gt; '控制台'!B5,F392=""),"",DATE(VALUE(LEFT('控制台'!B5,4)),VALUE(RIGHT('控制台'!B5,2))+1,1)-1-F392)</f>
        <v/>
      </c>
      <c r="J392">
        <f>IF(OR(A392&lt;&gt; '控制台'!B4,B392&lt;&gt; '控制台'!B5,G392=""),"",MAX(0,DATE(VALUE(LEFT('控制台'!B5,4)),VALUE(RIGHT('控制台'!B5,2))+1,1)-1-G392))</f>
        <v/>
      </c>
      <c r="K392">
        <f>IF(A392="","",IF(AND(AND('控制台'!B4&lt;&gt;"",'控制台'!B5&lt;&gt;"",'控制台'!B4='刷新信息'!B6,'控制台'!B5='刷新信息'!B8),A392='控制台'!B4,B392='控制台'!B5,OR(C392="应收",C392="应付"),COUNTIFS('往来余额'!A5:A6000,C392,'往来余额'!B5:B6000,D392)=1,E392&lt;&gt;"",COUNTIFS(A$5:A$504,A392,B$5:B$504,B392,C$5:C$504,C392,D$5:D$504,D392,E$5:E$504,E392)=1,ISNUMBER(F392),I392&gt;=0,ISNUMBER(H392),H392&gt;=0),"纳入","待核实"))</f>
        <v/>
      </c>
    </row>
    <row r="393">
      <c r="A393" s="13" t="n"/>
      <c r="B393" s="13" t="n"/>
      <c r="C393" s="13" t="n"/>
      <c r="D393" s="13" t="n"/>
      <c r="E393" s="13" t="n"/>
      <c r="F393" s="19" t="n"/>
      <c r="G393" s="19" t="n"/>
      <c r="H393" s="15" t="n"/>
      <c r="I393">
        <f>IF(OR(A393&lt;&gt; '控制台'!B4,B393&lt;&gt; '控制台'!B5,F393=""),"",DATE(VALUE(LEFT('控制台'!B5,4)),VALUE(RIGHT('控制台'!B5,2))+1,1)-1-F393)</f>
        <v/>
      </c>
      <c r="J393">
        <f>IF(OR(A393&lt;&gt; '控制台'!B4,B393&lt;&gt; '控制台'!B5,G393=""),"",MAX(0,DATE(VALUE(LEFT('控制台'!B5,4)),VALUE(RIGHT('控制台'!B5,2))+1,1)-1-G393))</f>
        <v/>
      </c>
      <c r="K393">
        <f>IF(A393="","",IF(AND(AND('控制台'!B4&lt;&gt;"",'控制台'!B5&lt;&gt;"",'控制台'!B4='刷新信息'!B6,'控制台'!B5='刷新信息'!B8),A393='控制台'!B4,B393='控制台'!B5,OR(C393="应收",C393="应付"),COUNTIFS('往来余额'!A5:A6000,C393,'往来余额'!B5:B6000,D393)=1,E393&lt;&gt;"",COUNTIFS(A$5:A$504,A393,B$5:B$504,B393,C$5:C$504,C393,D$5:D$504,D393,E$5:E$504,E393)=1,ISNUMBER(F393),I393&gt;=0,ISNUMBER(H393),H393&gt;=0),"纳入","待核实"))</f>
        <v/>
      </c>
    </row>
    <row r="394">
      <c r="A394" s="13" t="n"/>
      <c r="B394" s="13" t="n"/>
      <c r="C394" s="13" t="n"/>
      <c r="D394" s="13" t="n"/>
      <c r="E394" s="13" t="n"/>
      <c r="F394" s="19" t="n"/>
      <c r="G394" s="19" t="n"/>
      <c r="H394" s="15" t="n"/>
      <c r="I394">
        <f>IF(OR(A394&lt;&gt; '控制台'!B4,B394&lt;&gt; '控制台'!B5,F394=""),"",DATE(VALUE(LEFT('控制台'!B5,4)),VALUE(RIGHT('控制台'!B5,2))+1,1)-1-F394)</f>
        <v/>
      </c>
      <c r="J394">
        <f>IF(OR(A394&lt;&gt; '控制台'!B4,B394&lt;&gt; '控制台'!B5,G394=""),"",MAX(0,DATE(VALUE(LEFT('控制台'!B5,4)),VALUE(RIGHT('控制台'!B5,2))+1,1)-1-G394))</f>
        <v/>
      </c>
      <c r="K394">
        <f>IF(A394="","",IF(AND(AND('控制台'!B4&lt;&gt;"",'控制台'!B5&lt;&gt;"",'控制台'!B4='刷新信息'!B6,'控制台'!B5='刷新信息'!B8),A394='控制台'!B4,B394='控制台'!B5,OR(C394="应收",C394="应付"),COUNTIFS('往来余额'!A5:A6000,C394,'往来余额'!B5:B6000,D394)=1,E394&lt;&gt;"",COUNTIFS(A$5:A$504,A394,B$5:B$504,B394,C$5:C$504,C394,D$5:D$504,D394,E$5:E$504,E394)=1,ISNUMBER(F394),I394&gt;=0,ISNUMBER(H394),H394&gt;=0),"纳入","待核实"))</f>
        <v/>
      </c>
    </row>
    <row r="395">
      <c r="A395" s="13" t="n"/>
      <c r="B395" s="13" t="n"/>
      <c r="C395" s="13" t="n"/>
      <c r="D395" s="13" t="n"/>
      <c r="E395" s="13" t="n"/>
      <c r="F395" s="19" t="n"/>
      <c r="G395" s="19" t="n"/>
      <c r="H395" s="15" t="n"/>
      <c r="I395">
        <f>IF(OR(A395&lt;&gt; '控制台'!B4,B395&lt;&gt; '控制台'!B5,F395=""),"",DATE(VALUE(LEFT('控制台'!B5,4)),VALUE(RIGHT('控制台'!B5,2))+1,1)-1-F395)</f>
        <v/>
      </c>
      <c r="J395">
        <f>IF(OR(A395&lt;&gt; '控制台'!B4,B395&lt;&gt; '控制台'!B5,G395=""),"",MAX(0,DATE(VALUE(LEFT('控制台'!B5,4)),VALUE(RIGHT('控制台'!B5,2))+1,1)-1-G395))</f>
        <v/>
      </c>
      <c r="K395">
        <f>IF(A395="","",IF(AND(AND('控制台'!B4&lt;&gt;"",'控制台'!B5&lt;&gt;"",'控制台'!B4='刷新信息'!B6,'控制台'!B5='刷新信息'!B8),A395='控制台'!B4,B395='控制台'!B5,OR(C395="应收",C395="应付"),COUNTIFS('往来余额'!A5:A6000,C395,'往来余额'!B5:B6000,D395)=1,E395&lt;&gt;"",COUNTIFS(A$5:A$504,A395,B$5:B$504,B395,C$5:C$504,C395,D$5:D$504,D395,E$5:E$504,E395)=1,ISNUMBER(F395),I395&gt;=0,ISNUMBER(H395),H395&gt;=0),"纳入","待核实"))</f>
        <v/>
      </c>
    </row>
    <row r="396">
      <c r="A396" s="13" t="n"/>
      <c r="B396" s="13" t="n"/>
      <c r="C396" s="13" t="n"/>
      <c r="D396" s="13" t="n"/>
      <c r="E396" s="13" t="n"/>
      <c r="F396" s="19" t="n"/>
      <c r="G396" s="19" t="n"/>
      <c r="H396" s="15" t="n"/>
      <c r="I396">
        <f>IF(OR(A396&lt;&gt; '控制台'!B4,B396&lt;&gt; '控制台'!B5,F396=""),"",DATE(VALUE(LEFT('控制台'!B5,4)),VALUE(RIGHT('控制台'!B5,2))+1,1)-1-F396)</f>
        <v/>
      </c>
      <c r="J396">
        <f>IF(OR(A396&lt;&gt; '控制台'!B4,B396&lt;&gt; '控制台'!B5,G396=""),"",MAX(0,DATE(VALUE(LEFT('控制台'!B5,4)),VALUE(RIGHT('控制台'!B5,2))+1,1)-1-G396))</f>
        <v/>
      </c>
      <c r="K396">
        <f>IF(A396="","",IF(AND(AND('控制台'!B4&lt;&gt;"",'控制台'!B5&lt;&gt;"",'控制台'!B4='刷新信息'!B6,'控制台'!B5='刷新信息'!B8),A396='控制台'!B4,B396='控制台'!B5,OR(C396="应收",C396="应付"),COUNTIFS('往来余额'!A5:A6000,C396,'往来余额'!B5:B6000,D396)=1,E396&lt;&gt;"",COUNTIFS(A$5:A$504,A396,B$5:B$504,B396,C$5:C$504,C396,D$5:D$504,D396,E$5:E$504,E396)=1,ISNUMBER(F396),I396&gt;=0,ISNUMBER(H396),H396&gt;=0),"纳入","待核实"))</f>
        <v/>
      </c>
    </row>
    <row r="397">
      <c r="A397" s="13" t="n"/>
      <c r="B397" s="13" t="n"/>
      <c r="C397" s="13" t="n"/>
      <c r="D397" s="13" t="n"/>
      <c r="E397" s="13" t="n"/>
      <c r="F397" s="19" t="n"/>
      <c r="G397" s="19" t="n"/>
      <c r="H397" s="15" t="n"/>
      <c r="I397">
        <f>IF(OR(A397&lt;&gt; '控制台'!B4,B397&lt;&gt; '控制台'!B5,F397=""),"",DATE(VALUE(LEFT('控制台'!B5,4)),VALUE(RIGHT('控制台'!B5,2))+1,1)-1-F397)</f>
        <v/>
      </c>
      <c r="J397">
        <f>IF(OR(A397&lt;&gt; '控制台'!B4,B397&lt;&gt; '控制台'!B5,G397=""),"",MAX(0,DATE(VALUE(LEFT('控制台'!B5,4)),VALUE(RIGHT('控制台'!B5,2))+1,1)-1-G397))</f>
        <v/>
      </c>
      <c r="K397">
        <f>IF(A397="","",IF(AND(AND('控制台'!B4&lt;&gt;"",'控制台'!B5&lt;&gt;"",'控制台'!B4='刷新信息'!B6,'控制台'!B5='刷新信息'!B8),A397='控制台'!B4,B397='控制台'!B5,OR(C397="应收",C397="应付"),COUNTIFS('往来余额'!A5:A6000,C397,'往来余额'!B5:B6000,D397)=1,E397&lt;&gt;"",COUNTIFS(A$5:A$504,A397,B$5:B$504,B397,C$5:C$504,C397,D$5:D$504,D397,E$5:E$504,E397)=1,ISNUMBER(F397),I397&gt;=0,ISNUMBER(H397),H397&gt;=0),"纳入","待核实"))</f>
        <v/>
      </c>
    </row>
    <row r="398">
      <c r="A398" s="13" t="n"/>
      <c r="B398" s="13" t="n"/>
      <c r="C398" s="13" t="n"/>
      <c r="D398" s="13" t="n"/>
      <c r="E398" s="13" t="n"/>
      <c r="F398" s="19" t="n"/>
      <c r="G398" s="19" t="n"/>
      <c r="H398" s="15" t="n"/>
      <c r="I398">
        <f>IF(OR(A398&lt;&gt; '控制台'!B4,B398&lt;&gt; '控制台'!B5,F398=""),"",DATE(VALUE(LEFT('控制台'!B5,4)),VALUE(RIGHT('控制台'!B5,2))+1,1)-1-F398)</f>
        <v/>
      </c>
      <c r="J398">
        <f>IF(OR(A398&lt;&gt; '控制台'!B4,B398&lt;&gt; '控制台'!B5,G398=""),"",MAX(0,DATE(VALUE(LEFT('控制台'!B5,4)),VALUE(RIGHT('控制台'!B5,2))+1,1)-1-G398))</f>
        <v/>
      </c>
      <c r="K398">
        <f>IF(A398="","",IF(AND(AND('控制台'!B4&lt;&gt;"",'控制台'!B5&lt;&gt;"",'控制台'!B4='刷新信息'!B6,'控制台'!B5='刷新信息'!B8),A398='控制台'!B4,B398='控制台'!B5,OR(C398="应收",C398="应付"),COUNTIFS('往来余额'!A5:A6000,C398,'往来余额'!B5:B6000,D398)=1,E398&lt;&gt;"",COUNTIFS(A$5:A$504,A398,B$5:B$504,B398,C$5:C$504,C398,D$5:D$504,D398,E$5:E$504,E398)=1,ISNUMBER(F398),I398&gt;=0,ISNUMBER(H398),H398&gt;=0),"纳入","待核实"))</f>
        <v/>
      </c>
    </row>
    <row r="399">
      <c r="A399" s="13" t="n"/>
      <c r="B399" s="13" t="n"/>
      <c r="C399" s="13" t="n"/>
      <c r="D399" s="13" t="n"/>
      <c r="E399" s="13" t="n"/>
      <c r="F399" s="19" t="n"/>
      <c r="G399" s="19" t="n"/>
      <c r="H399" s="15" t="n"/>
      <c r="I399">
        <f>IF(OR(A399&lt;&gt; '控制台'!B4,B399&lt;&gt; '控制台'!B5,F399=""),"",DATE(VALUE(LEFT('控制台'!B5,4)),VALUE(RIGHT('控制台'!B5,2))+1,1)-1-F399)</f>
        <v/>
      </c>
      <c r="J399">
        <f>IF(OR(A399&lt;&gt; '控制台'!B4,B399&lt;&gt; '控制台'!B5,G399=""),"",MAX(0,DATE(VALUE(LEFT('控制台'!B5,4)),VALUE(RIGHT('控制台'!B5,2))+1,1)-1-G399))</f>
        <v/>
      </c>
      <c r="K399">
        <f>IF(A399="","",IF(AND(AND('控制台'!B4&lt;&gt;"",'控制台'!B5&lt;&gt;"",'控制台'!B4='刷新信息'!B6,'控制台'!B5='刷新信息'!B8),A399='控制台'!B4,B399='控制台'!B5,OR(C399="应收",C399="应付"),COUNTIFS('往来余额'!A5:A6000,C399,'往来余额'!B5:B6000,D399)=1,E399&lt;&gt;"",COUNTIFS(A$5:A$504,A399,B$5:B$504,B399,C$5:C$504,C399,D$5:D$504,D399,E$5:E$504,E399)=1,ISNUMBER(F399),I399&gt;=0,ISNUMBER(H399),H399&gt;=0),"纳入","待核实"))</f>
        <v/>
      </c>
    </row>
    <row r="400">
      <c r="A400" s="13" t="n"/>
      <c r="B400" s="13" t="n"/>
      <c r="C400" s="13" t="n"/>
      <c r="D400" s="13" t="n"/>
      <c r="E400" s="13" t="n"/>
      <c r="F400" s="19" t="n"/>
      <c r="G400" s="19" t="n"/>
      <c r="H400" s="15" t="n"/>
      <c r="I400">
        <f>IF(OR(A400&lt;&gt; '控制台'!B4,B400&lt;&gt; '控制台'!B5,F400=""),"",DATE(VALUE(LEFT('控制台'!B5,4)),VALUE(RIGHT('控制台'!B5,2))+1,1)-1-F400)</f>
        <v/>
      </c>
      <c r="J400">
        <f>IF(OR(A400&lt;&gt; '控制台'!B4,B400&lt;&gt; '控制台'!B5,G400=""),"",MAX(0,DATE(VALUE(LEFT('控制台'!B5,4)),VALUE(RIGHT('控制台'!B5,2))+1,1)-1-G400))</f>
        <v/>
      </c>
      <c r="K400">
        <f>IF(A400="","",IF(AND(AND('控制台'!B4&lt;&gt;"",'控制台'!B5&lt;&gt;"",'控制台'!B4='刷新信息'!B6,'控制台'!B5='刷新信息'!B8),A400='控制台'!B4,B400='控制台'!B5,OR(C400="应收",C400="应付"),COUNTIFS('往来余额'!A5:A6000,C400,'往来余额'!B5:B6000,D400)=1,E400&lt;&gt;"",COUNTIFS(A$5:A$504,A400,B$5:B$504,B400,C$5:C$504,C400,D$5:D$504,D400,E$5:E$504,E400)=1,ISNUMBER(F400),I400&gt;=0,ISNUMBER(H400),H400&gt;=0),"纳入","待核实"))</f>
        <v/>
      </c>
    </row>
    <row r="401">
      <c r="A401" s="13" t="n"/>
      <c r="B401" s="13" t="n"/>
      <c r="C401" s="13" t="n"/>
      <c r="D401" s="13" t="n"/>
      <c r="E401" s="13" t="n"/>
      <c r="F401" s="19" t="n"/>
      <c r="G401" s="19" t="n"/>
      <c r="H401" s="15" t="n"/>
      <c r="I401">
        <f>IF(OR(A401&lt;&gt; '控制台'!B4,B401&lt;&gt; '控制台'!B5,F401=""),"",DATE(VALUE(LEFT('控制台'!B5,4)),VALUE(RIGHT('控制台'!B5,2))+1,1)-1-F401)</f>
        <v/>
      </c>
      <c r="J401">
        <f>IF(OR(A401&lt;&gt; '控制台'!B4,B401&lt;&gt; '控制台'!B5,G401=""),"",MAX(0,DATE(VALUE(LEFT('控制台'!B5,4)),VALUE(RIGHT('控制台'!B5,2))+1,1)-1-G401))</f>
        <v/>
      </c>
      <c r="K401">
        <f>IF(A401="","",IF(AND(AND('控制台'!B4&lt;&gt;"",'控制台'!B5&lt;&gt;"",'控制台'!B4='刷新信息'!B6,'控制台'!B5='刷新信息'!B8),A401='控制台'!B4,B401='控制台'!B5,OR(C401="应收",C401="应付"),COUNTIFS('往来余额'!A5:A6000,C401,'往来余额'!B5:B6000,D401)=1,E401&lt;&gt;"",COUNTIFS(A$5:A$504,A401,B$5:B$504,B401,C$5:C$504,C401,D$5:D$504,D401,E$5:E$504,E401)=1,ISNUMBER(F401),I401&gt;=0,ISNUMBER(H401),H401&gt;=0),"纳入","待核实"))</f>
        <v/>
      </c>
    </row>
    <row r="402">
      <c r="A402" s="13" t="n"/>
      <c r="B402" s="13" t="n"/>
      <c r="C402" s="13" t="n"/>
      <c r="D402" s="13" t="n"/>
      <c r="E402" s="13" t="n"/>
      <c r="F402" s="19" t="n"/>
      <c r="G402" s="19" t="n"/>
      <c r="H402" s="15" t="n"/>
      <c r="I402">
        <f>IF(OR(A402&lt;&gt; '控制台'!B4,B402&lt;&gt; '控制台'!B5,F402=""),"",DATE(VALUE(LEFT('控制台'!B5,4)),VALUE(RIGHT('控制台'!B5,2))+1,1)-1-F402)</f>
        <v/>
      </c>
      <c r="J402">
        <f>IF(OR(A402&lt;&gt; '控制台'!B4,B402&lt;&gt; '控制台'!B5,G402=""),"",MAX(0,DATE(VALUE(LEFT('控制台'!B5,4)),VALUE(RIGHT('控制台'!B5,2))+1,1)-1-G402))</f>
        <v/>
      </c>
      <c r="K402">
        <f>IF(A402="","",IF(AND(AND('控制台'!B4&lt;&gt;"",'控制台'!B5&lt;&gt;"",'控制台'!B4='刷新信息'!B6,'控制台'!B5='刷新信息'!B8),A402='控制台'!B4,B402='控制台'!B5,OR(C402="应收",C402="应付"),COUNTIFS('往来余额'!A5:A6000,C402,'往来余额'!B5:B6000,D402)=1,E402&lt;&gt;"",COUNTIFS(A$5:A$504,A402,B$5:B$504,B402,C$5:C$504,C402,D$5:D$504,D402,E$5:E$504,E402)=1,ISNUMBER(F402),I402&gt;=0,ISNUMBER(H402),H402&gt;=0),"纳入","待核实"))</f>
        <v/>
      </c>
    </row>
    <row r="403">
      <c r="A403" s="13" t="n"/>
      <c r="B403" s="13" t="n"/>
      <c r="C403" s="13" t="n"/>
      <c r="D403" s="13" t="n"/>
      <c r="E403" s="13" t="n"/>
      <c r="F403" s="19" t="n"/>
      <c r="G403" s="19" t="n"/>
      <c r="H403" s="15" t="n"/>
      <c r="I403">
        <f>IF(OR(A403&lt;&gt; '控制台'!B4,B403&lt;&gt; '控制台'!B5,F403=""),"",DATE(VALUE(LEFT('控制台'!B5,4)),VALUE(RIGHT('控制台'!B5,2))+1,1)-1-F403)</f>
        <v/>
      </c>
      <c r="J403">
        <f>IF(OR(A403&lt;&gt; '控制台'!B4,B403&lt;&gt; '控制台'!B5,G403=""),"",MAX(0,DATE(VALUE(LEFT('控制台'!B5,4)),VALUE(RIGHT('控制台'!B5,2))+1,1)-1-G403))</f>
        <v/>
      </c>
      <c r="K403">
        <f>IF(A403="","",IF(AND(AND('控制台'!B4&lt;&gt;"",'控制台'!B5&lt;&gt;"",'控制台'!B4='刷新信息'!B6,'控制台'!B5='刷新信息'!B8),A403='控制台'!B4,B403='控制台'!B5,OR(C403="应收",C403="应付"),COUNTIFS('往来余额'!A5:A6000,C403,'往来余额'!B5:B6000,D403)=1,E403&lt;&gt;"",COUNTIFS(A$5:A$504,A403,B$5:B$504,B403,C$5:C$504,C403,D$5:D$504,D403,E$5:E$504,E403)=1,ISNUMBER(F403),I403&gt;=0,ISNUMBER(H403),H403&gt;=0),"纳入","待核实"))</f>
        <v/>
      </c>
    </row>
    <row r="404">
      <c r="A404" s="13" t="n"/>
      <c r="B404" s="13" t="n"/>
      <c r="C404" s="13" t="n"/>
      <c r="D404" s="13" t="n"/>
      <c r="E404" s="13" t="n"/>
      <c r="F404" s="19" t="n"/>
      <c r="G404" s="19" t="n"/>
      <c r="H404" s="15" t="n"/>
      <c r="I404">
        <f>IF(OR(A404&lt;&gt; '控制台'!B4,B404&lt;&gt; '控制台'!B5,F404=""),"",DATE(VALUE(LEFT('控制台'!B5,4)),VALUE(RIGHT('控制台'!B5,2))+1,1)-1-F404)</f>
        <v/>
      </c>
      <c r="J404">
        <f>IF(OR(A404&lt;&gt; '控制台'!B4,B404&lt;&gt; '控制台'!B5,G404=""),"",MAX(0,DATE(VALUE(LEFT('控制台'!B5,4)),VALUE(RIGHT('控制台'!B5,2))+1,1)-1-G404))</f>
        <v/>
      </c>
      <c r="K404">
        <f>IF(A404="","",IF(AND(AND('控制台'!B4&lt;&gt;"",'控制台'!B5&lt;&gt;"",'控制台'!B4='刷新信息'!B6,'控制台'!B5='刷新信息'!B8),A404='控制台'!B4,B404='控制台'!B5,OR(C404="应收",C404="应付"),COUNTIFS('往来余额'!A5:A6000,C404,'往来余额'!B5:B6000,D404)=1,E404&lt;&gt;"",COUNTIFS(A$5:A$504,A404,B$5:B$504,B404,C$5:C$504,C404,D$5:D$504,D404,E$5:E$504,E404)=1,ISNUMBER(F404),I404&gt;=0,ISNUMBER(H404),H404&gt;=0),"纳入","待核实"))</f>
        <v/>
      </c>
    </row>
    <row r="405">
      <c r="A405" s="13" t="n"/>
      <c r="B405" s="13" t="n"/>
      <c r="C405" s="13" t="n"/>
      <c r="D405" s="13" t="n"/>
      <c r="E405" s="13" t="n"/>
      <c r="F405" s="19" t="n"/>
      <c r="G405" s="19" t="n"/>
      <c r="H405" s="15" t="n"/>
      <c r="I405">
        <f>IF(OR(A405&lt;&gt; '控制台'!B4,B405&lt;&gt; '控制台'!B5,F405=""),"",DATE(VALUE(LEFT('控制台'!B5,4)),VALUE(RIGHT('控制台'!B5,2))+1,1)-1-F405)</f>
        <v/>
      </c>
      <c r="J405">
        <f>IF(OR(A405&lt;&gt; '控制台'!B4,B405&lt;&gt; '控制台'!B5,G405=""),"",MAX(0,DATE(VALUE(LEFT('控制台'!B5,4)),VALUE(RIGHT('控制台'!B5,2))+1,1)-1-G405))</f>
        <v/>
      </c>
      <c r="K405">
        <f>IF(A405="","",IF(AND(AND('控制台'!B4&lt;&gt;"",'控制台'!B5&lt;&gt;"",'控制台'!B4='刷新信息'!B6,'控制台'!B5='刷新信息'!B8),A405='控制台'!B4,B405='控制台'!B5,OR(C405="应收",C405="应付"),COUNTIFS('往来余额'!A5:A6000,C405,'往来余额'!B5:B6000,D405)=1,E405&lt;&gt;"",COUNTIFS(A$5:A$504,A405,B$5:B$504,B405,C$5:C$504,C405,D$5:D$504,D405,E$5:E$504,E405)=1,ISNUMBER(F405),I405&gt;=0,ISNUMBER(H405),H405&gt;=0),"纳入","待核实"))</f>
        <v/>
      </c>
    </row>
    <row r="406">
      <c r="A406" s="13" t="n"/>
      <c r="B406" s="13" t="n"/>
      <c r="C406" s="13" t="n"/>
      <c r="D406" s="13" t="n"/>
      <c r="E406" s="13" t="n"/>
      <c r="F406" s="19" t="n"/>
      <c r="G406" s="19" t="n"/>
      <c r="H406" s="15" t="n"/>
      <c r="I406">
        <f>IF(OR(A406&lt;&gt; '控制台'!B4,B406&lt;&gt; '控制台'!B5,F406=""),"",DATE(VALUE(LEFT('控制台'!B5,4)),VALUE(RIGHT('控制台'!B5,2))+1,1)-1-F406)</f>
        <v/>
      </c>
      <c r="J406">
        <f>IF(OR(A406&lt;&gt; '控制台'!B4,B406&lt;&gt; '控制台'!B5,G406=""),"",MAX(0,DATE(VALUE(LEFT('控制台'!B5,4)),VALUE(RIGHT('控制台'!B5,2))+1,1)-1-G406))</f>
        <v/>
      </c>
      <c r="K406">
        <f>IF(A406="","",IF(AND(AND('控制台'!B4&lt;&gt;"",'控制台'!B5&lt;&gt;"",'控制台'!B4='刷新信息'!B6,'控制台'!B5='刷新信息'!B8),A406='控制台'!B4,B406='控制台'!B5,OR(C406="应收",C406="应付"),COUNTIFS('往来余额'!A5:A6000,C406,'往来余额'!B5:B6000,D406)=1,E406&lt;&gt;"",COUNTIFS(A$5:A$504,A406,B$5:B$504,B406,C$5:C$504,C406,D$5:D$504,D406,E$5:E$504,E406)=1,ISNUMBER(F406),I406&gt;=0,ISNUMBER(H406),H406&gt;=0),"纳入","待核实"))</f>
        <v/>
      </c>
    </row>
    <row r="407">
      <c r="A407" s="13" t="n"/>
      <c r="B407" s="13" t="n"/>
      <c r="C407" s="13" t="n"/>
      <c r="D407" s="13" t="n"/>
      <c r="E407" s="13" t="n"/>
      <c r="F407" s="19" t="n"/>
      <c r="G407" s="19" t="n"/>
      <c r="H407" s="15" t="n"/>
      <c r="I407">
        <f>IF(OR(A407&lt;&gt; '控制台'!B4,B407&lt;&gt; '控制台'!B5,F407=""),"",DATE(VALUE(LEFT('控制台'!B5,4)),VALUE(RIGHT('控制台'!B5,2))+1,1)-1-F407)</f>
        <v/>
      </c>
      <c r="J407">
        <f>IF(OR(A407&lt;&gt; '控制台'!B4,B407&lt;&gt; '控制台'!B5,G407=""),"",MAX(0,DATE(VALUE(LEFT('控制台'!B5,4)),VALUE(RIGHT('控制台'!B5,2))+1,1)-1-G407))</f>
        <v/>
      </c>
      <c r="K407">
        <f>IF(A407="","",IF(AND(AND('控制台'!B4&lt;&gt;"",'控制台'!B5&lt;&gt;"",'控制台'!B4='刷新信息'!B6,'控制台'!B5='刷新信息'!B8),A407='控制台'!B4,B407='控制台'!B5,OR(C407="应收",C407="应付"),COUNTIFS('往来余额'!A5:A6000,C407,'往来余额'!B5:B6000,D407)=1,E407&lt;&gt;"",COUNTIFS(A$5:A$504,A407,B$5:B$504,B407,C$5:C$504,C407,D$5:D$504,D407,E$5:E$504,E407)=1,ISNUMBER(F407),I407&gt;=0,ISNUMBER(H407),H407&gt;=0),"纳入","待核实"))</f>
        <v/>
      </c>
    </row>
    <row r="408">
      <c r="A408" s="13" t="n"/>
      <c r="B408" s="13" t="n"/>
      <c r="C408" s="13" t="n"/>
      <c r="D408" s="13" t="n"/>
      <c r="E408" s="13" t="n"/>
      <c r="F408" s="19" t="n"/>
      <c r="G408" s="19" t="n"/>
      <c r="H408" s="15" t="n"/>
      <c r="I408">
        <f>IF(OR(A408&lt;&gt; '控制台'!B4,B408&lt;&gt; '控制台'!B5,F408=""),"",DATE(VALUE(LEFT('控制台'!B5,4)),VALUE(RIGHT('控制台'!B5,2))+1,1)-1-F408)</f>
        <v/>
      </c>
      <c r="J408">
        <f>IF(OR(A408&lt;&gt; '控制台'!B4,B408&lt;&gt; '控制台'!B5,G408=""),"",MAX(0,DATE(VALUE(LEFT('控制台'!B5,4)),VALUE(RIGHT('控制台'!B5,2))+1,1)-1-G408))</f>
        <v/>
      </c>
      <c r="K408">
        <f>IF(A408="","",IF(AND(AND('控制台'!B4&lt;&gt;"",'控制台'!B5&lt;&gt;"",'控制台'!B4='刷新信息'!B6,'控制台'!B5='刷新信息'!B8),A408='控制台'!B4,B408='控制台'!B5,OR(C408="应收",C408="应付"),COUNTIFS('往来余额'!A5:A6000,C408,'往来余额'!B5:B6000,D408)=1,E408&lt;&gt;"",COUNTIFS(A$5:A$504,A408,B$5:B$504,B408,C$5:C$504,C408,D$5:D$504,D408,E$5:E$504,E408)=1,ISNUMBER(F408),I408&gt;=0,ISNUMBER(H408),H408&gt;=0),"纳入","待核实"))</f>
        <v/>
      </c>
    </row>
    <row r="409">
      <c r="A409" s="13" t="n"/>
      <c r="B409" s="13" t="n"/>
      <c r="C409" s="13" t="n"/>
      <c r="D409" s="13" t="n"/>
      <c r="E409" s="13" t="n"/>
      <c r="F409" s="19" t="n"/>
      <c r="G409" s="19" t="n"/>
      <c r="H409" s="15" t="n"/>
      <c r="I409">
        <f>IF(OR(A409&lt;&gt; '控制台'!B4,B409&lt;&gt; '控制台'!B5,F409=""),"",DATE(VALUE(LEFT('控制台'!B5,4)),VALUE(RIGHT('控制台'!B5,2))+1,1)-1-F409)</f>
        <v/>
      </c>
      <c r="J409">
        <f>IF(OR(A409&lt;&gt; '控制台'!B4,B409&lt;&gt; '控制台'!B5,G409=""),"",MAX(0,DATE(VALUE(LEFT('控制台'!B5,4)),VALUE(RIGHT('控制台'!B5,2))+1,1)-1-G409))</f>
        <v/>
      </c>
      <c r="K409">
        <f>IF(A409="","",IF(AND(AND('控制台'!B4&lt;&gt;"",'控制台'!B5&lt;&gt;"",'控制台'!B4='刷新信息'!B6,'控制台'!B5='刷新信息'!B8),A409='控制台'!B4,B409='控制台'!B5,OR(C409="应收",C409="应付"),COUNTIFS('往来余额'!A5:A6000,C409,'往来余额'!B5:B6000,D409)=1,E409&lt;&gt;"",COUNTIFS(A$5:A$504,A409,B$5:B$504,B409,C$5:C$504,C409,D$5:D$504,D409,E$5:E$504,E409)=1,ISNUMBER(F409),I409&gt;=0,ISNUMBER(H409),H409&gt;=0),"纳入","待核实"))</f>
        <v/>
      </c>
    </row>
    <row r="410">
      <c r="A410" s="13" t="n"/>
      <c r="B410" s="13" t="n"/>
      <c r="C410" s="13" t="n"/>
      <c r="D410" s="13" t="n"/>
      <c r="E410" s="13" t="n"/>
      <c r="F410" s="19" t="n"/>
      <c r="G410" s="19" t="n"/>
      <c r="H410" s="15" t="n"/>
      <c r="I410">
        <f>IF(OR(A410&lt;&gt; '控制台'!B4,B410&lt;&gt; '控制台'!B5,F410=""),"",DATE(VALUE(LEFT('控制台'!B5,4)),VALUE(RIGHT('控制台'!B5,2))+1,1)-1-F410)</f>
        <v/>
      </c>
      <c r="J410">
        <f>IF(OR(A410&lt;&gt; '控制台'!B4,B410&lt;&gt; '控制台'!B5,G410=""),"",MAX(0,DATE(VALUE(LEFT('控制台'!B5,4)),VALUE(RIGHT('控制台'!B5,2))+1,1)-1-G410))</f>
        <v/>
      </c>
      <c r="K410">
        <f>IF(A410="","",IF(AND(AND('控制台'!B4&lt;&gt;"",'控制台'!B5&lt;&gt;"",'控制台'!B4='刷新信息'!B6,'控制台'!B5='刷新信息'!B8),A410='控制台'!B4,B410='控制台'!B5,OR(C410="应收",C410="应付"),COUNTIFS('往来余额'!A5:A6000,C410,'往来余额'!B5:B6000,D410)=1,E410&lt;&gt;"",COUNTIFS(A$5:A$504,A410,B$5:B$504,B410,C$5:C$504,C410,D$5:D$504,D410,E$5:E$504,E410)=1,ISNUMBER(F410),I410&gt;=0,ISNUMBER(H410),H410&gt;=0),"纳入","待核实"))</f>
        <v/>
      </c>
    </row>
    <row r="411">
      <c r="A411" s="13" t="n"/>
      <c r="B411" s="13" t="n"/>
      <c r="C411" s="13" t="n"/>
      <c r="D411" s="13" t="n"/>
      <c r="E411" s="13" t="n"/>
      <c r="F411" s="19" t="n"/>
      <c r="G411" s="19" t="n"/>
      <c r="H411" s="15" t="n"/>
      <c r="I411">
        <f>IF(OR(A411&lt;&gt; '控制台'!B4,B411&lt;&gt; '控制台'!B5,F411=""),"",DATE(VALUE(LEFT('控制台'!B5,4)),VALUE(RIGHT('控制台'!B5,2))+1,1)-1-F411)</f>
        <v/>
      </c>
      <c r="J411">
        <f>IF(OR(A411&lt;&gt; '控制台'!B4,B411&lt;&gt; '控制台'!B5,G411=""),"",MAX(0,DATE(VALUE(LEFT('控制台'!B5,4)),VALUE(RIGHT('控制台'!B5,2))+1,1)-1-G411))</f>
        <v/>
      </c>
      <c r="K411">
        <f>IF(A411="","",IF(AND(AND('控制台'!B4&lt;&gt;"",'控制台'!B5&lt;&gt;"",'控制台'!B4='刷新信息'!B6,'控制台'!B5='刷新信息'!B8),A411='控制台'!B4,B411='控制台'!B5,OR(C411="应收",C411="应付"),COUNTIFS('往来余额'!A5:A6000,C411,'往来余额'!B5:B6000,D411)=1,E411&lt;&gt;"",COUNTIFS(A$5:A$504,A411,B$5:B$504,B411,C$5:C$504,C411,D$5:D$504,D411,E$5:E$504,E411)=1,ISNUMBER(F411),I411&gt;=0,ISNUMBER(H411),H411&gt;=0),"纳入","待核实"))</f>
        <v/>
      </c>
    </row>
    <row r="412">
      <c r="A412" s="13" t="n"/>
      <c r="B412" s="13" t="n"/>
      <c r="C412" s="13" t="n"/>
      <c r="D412" s="13" t="n"/>
      <c r="E412" s="13" t="n"/>
      <c r="F412" s="19" t="n"/>
      <c r="G412" s="19" t="n"/>
      <c r="H412" s="15" t="n"/>
      <c r="I412">
        <f>IF(OR(A412&lt;&gt; '控制台'!B4,B412&lt;&gt; '控制台'!B5,F412=""),"",DATE(VALUE(LEFT('控制台'!B5,4)),VALUE(RIGHT('控制台'!B5,2))+1,1)-1-F412)</f>
        <v/>
      </c>
      <c r="J412">
        <f>IF(OR(A412&lt;&gt; '控制台'!B4,B412&lt;&gt; '控制台'!B5,G412=""),"",MAX(0,DATE(VALUE(LEFT('控制台'!B5,4)),VALUE(RIGHT('控制台'!B5,2))+1,1)-1-G412))</f>
        <v/>
      </c>
      <c r="K412">
        <f>IF(A412="","",IF(AND(AND('控制台'!B4&lt;&gt;"",'控制台'!B5&lt;&gt;"",'控制台'!B4='刷新信息'!B6,'控制台'!B5='刷新信息'!B8),A412='控制台'!B4,B412='控制台'!B5,OR(C412="应收",C412="应付"),COUNTIFS('往来余额'!A5:A6000,C412,'往来余额'!B5:B6000,D412)=1,E412&lt;&gt;"",COUNTIFS(A$5:A$504,A412,B$5:B$504,B412,C$5:C$504,C412,D$5:D$504,D412,E$5:E$504,E412)=1,ISNUMBER(F412),I412&gt;=0,ISNUMBER(H412),H412&gt;=0),"纳入","待核实"))</f>
        <v/>
      </c>
    </row>
    <row r="413">
      <c r="A413" s="13" t="n"/>
      <c r="B413" s="13" t="n"/>
      <c r="C413" s="13" t="n"/>
      <c r="D413" s="13" t="n"/>
      <c r="E413" s="13" t="n"/>
      <c r="F413" s="19" t="n"/>
      <c r="G413" s="19" t="n"/>
      <c r="H413" s="15" t="n"/>
      <c r="I413">
        <f>IF(OR(A413&lt;&gt; '控制台'!B4,B413&lt;&gt; '控制台'!B5,F413=""),"",DATE(VALUE(LEFT('控制台'!B5,4)),VALUE(RIGHT('控制台'!B5,2))+1,1)-1-F413)</f>
        <v/>
      </c>
      <c r="J413">
        <f>IF(OR(A413&lt;&gt; '控制台'!B4,B413&lt;&gt; '控制台'!B5,G413=""),"",MAX(0,DATE(VALUE(LEFT('控制台'!B5,4)),VALUE(RIGHT('控制台'!B5,2))+1,1)-1-G413))</f>
        <v/>
      </c>
      <c r="K413">
        <f>IF(A413="","",IF(AND(AND('控制台'!B4&lt;&gt;"",'控制台'!B5&lt;&gt;"",'控制台'!B4='刷新信息'!B6,'控制台'!B5='刷新信息'!B8),A413='控制台'!B4,B413='控制台'!B5,OR(C413="应收",C413="应付"),COUNTIFS('往来余额'!A5:A6000,C413,'往来余额'!B5:B6000,D413)=1,E413&lt;&gt;"",COUNTIFS(A$5:A$504,A413,B$5:B$504,B413,C$5:C$504,C413,D$5:D$504,D413,E$5:E$504,E413)=1,ISNUMBER(F413),I413&gt;=0,ISNUMBER(H413),H413&gt;=0),"纳入","待核实"))</f>
        <v/>
      </c>
    </row>
    <row r="414">
      <c r="A414" s="13" t="n"/>
      <c r="B414" s="13" t="n"/>
      <c r="C414" s="13" t="n"/>
      <c r="D414" s="13" t="n"/>
      <c r="E414" s="13" t="n"/>
      <c r="F414" s="19" t="n"/>
      <c r="G414" s="19" t="n"/>
      <c r="H414" s="15" t="n"/>
      <c r="I414">
        <f>IF(OR(A414&lt;&gt; '控制台'!B4,B414&lt;&gt; '控制台'!B5,F414=""),"",DATE(VALUE(LEFT('控制台'!B5,4)),VALUE(RIGHT('控制台'!B5,2))+1,1)-1-F414)</f>
        <v/>
      </c>
      <c r="J414">
        <f>IF(OR(A414&lt;&gt; '控制台'!B4,B414&lt;&gt; '控制台'!B5,G414=""),"",MAX(0,DATE(VALUE(LEFT('控制台'!B5,4)),VALUE(RIGHT('控制台'!B5,2))+1,1)-1-G414))</f>
        <v/>
      </c>
      <c r="K414">
        <f>IF(A414="","",IF(AND(AND('控制台'!B4&lt;&gt;"",'控制台'!B5&lt;&gt;"",'控制台'!B4='刷新信息'!B6,'控制台'!B5='刷新信息'!B8),A414='控制台'!B4,B414='控制台'!B5,OR(C414="应收",C414="应付"),COUNTIFS('往来余额'!A5:A6000,C414,'往来余额'!B5:B6000,D414)=1,E414&lt;&gt;"",COUNTIFS(A$5:A$504,A414,B$5:B$504,B414,C$5:C$504,C414,D$5:D$504,D414,E$5:E$504,E414)=1,ISNUMBER(F414),I414&gt;=0,ISNUMBER(H414),H414&gt;=0),"纳入","待核实"))</f>
        <v/>
      </c>
    </row>
    <row r="415">
      <c r="A415" s="13" t="n"/>
      <c r="B415" s="13" t="n"/>
      <c r="C415" s="13" t="n"/>
      <c r="D415" s="13" t="n"/>
      <c r="E415" s="13" t="n"/>
      <c r="F415" s="19" t="n"/>
      <c r="G415" s="19" t="n"/>
      <c r="H415" s="15" t="n"/>
      <c r="I415">
        <f>IF(OR(A415&lt;&gt; '控制台'!B4,B415&lt;&gt; '控制台'!B5,F415=""),"",DATE(VALUE(LEFT('控制台'!B5,4)),VALUE(RIGHT('控制台'!B5,2))+1,1)-1-F415)</f>
        <v/>
      </c>
      <c r="J415">
        <f>IF(OR(A415&lt;&gt; '控制台'!B4,B415&lt;&gt; '控制台'!B5,G415=""),"",MAX(0,DATE(VALUE(LEFT('控制台'!B5,4)),VALUE(RIGHT('控制台'!B5,2))+1,1)-1-G415))</f>
        <v/>
      </c>
      <c r="K415">
        <f>IF(A415="","",IF(AND(AND('控制台'!B4&lt;&gt;"",'控制台'!B5&lt;&gt;"",'控制台'!B4='刷新信息'!B6,'控制台'!B5='刷新信息'!B8),A415='控制台'!B4,B415='控制台'!B5,OR(C415="应收",C415="应付"),COUNTIFS('往来余额'!A5:A6000,C415,'往来余额'!B5:B6000,D415)=1,E415&lt;&gt;"",COUNTIFS(A$5:A$504,A415,B$5:B$504,B415,C$5:C$504,C415,D$5:D$504,D415,E$5:E$504,E415)=1,ISNUMBER(F415),I415&gt;=0,ISNUMBER(H415),H415&gt;=0),"纳入","待核实"))</f>
        <v/>
      </c>
    </row>
    <row r="416">
      <c r="A416" s="13" t="n"/>
      <c r="B416" s="13" t="n"/>
      <c r="C416" s="13" t="n"/>
      <c r="D416" s="13" t="n"/>
      <c r="E416" s="13" t="n"/>
      <c r="F416" s="19" t="n"/>
      <c r="G416" s="19" t="n"/>
      <c r="H416" s="15" t="n"/>
      <c r="I416">
        <f>IF(OR(A416&lt;&gt; '控制台'!B4,B416&lt;&gt; '控制台'!B5,F416=""),"",DATE(VALUE(LEFT('控制台'!B5,4)),VALUE(RIGHT('控制台'!B5,2))+1,1)-1-F416)</f>
        <v/>
      </c>
      <c r="J416">
        <f>IF(OR(A416&lt;&gt; '控制台'!B4,B416&lt;&gt; '控制台'!B5,G416=""),"",MAX(0,DATE(VALUE(LEFT('控制台'!B5,4)),VALUE(RIGHT('控制台'!B5,2))+1,1)-1-G416))</f>
        <v/>
      </c>
      <c r="K416">
        <f>IF(A416="","",IF(AND(AND('控制台'!B4&lt;&gt;"",'控制台'!B5&lt;&gt;"",'控制台'!B4='刷新信息'!B6,'控制台'!B5='刷新信息'!B8),A416='控制台'!B4,B416='控制台'!B5,OR(C416="应收",C416="应付"),COUNTIFS('往来余额'!A5:A6000,C416,'往来余额'!B5:B6000,D416)=1,E416&lt;&gt;"",COUNTIFS(A$5:A$504,A416,B$5:B$504,B416,C$5:C$504,C416,D$5:D$504,D416,E$5:E$504,E416)=1,ISNUMBER(F416),I416&gt;=0,ISNUMBER(H416),H416&gt;=0),"纳入","待核实"))</f>
        <v/>
      </c>
    </row>
    <row r="417">
      <c r="A417" s="13" t="n"/>
      <c r="B417" s="13" t="n"/>
      <c r="C417" s="13" t="n"/>
      <c r="D417" s="13" t="n"/>
      <c r="E417" s="13" t="n"/>
      <c r="F417" s="19" t="n"/>
      <c r="G417" s="19" t="n"/>
      <c r="H417" s="15" t="n"/>
      <c r="I417">
        <f>IF(OR(A417&lt;&gt; '控制台'!B4,B417&lt;&gt; '控制台'!B5,F417=""),"",DATE(VALUE(LEFT('控制台'!B5,4)),VALUE(RIGHT('控制台'!B5,2))+1,1)-1-F417)</f>
        <v/>
      </c>
      <c r="J417">
        <f>IF(OR(A417&lt;&gt; '控制台'!B4,B417&lt;&gt; '控制台'!B5,G417=""),"",MAX(0,DATE(VALUE(LEFT('控制台'!B5,4)),VALUE(RIGHT('控制台'!B5,2))+1,1)-1-G417))</f>
        <v/>
      </c>
      <c r="K417">
        <f>IF(A417="","",IF(AND(AND('控制台'!B4&lt;&gt;"",'控制台'!B5&lt;&gt;"",'控制台'!B4='刷新信息'!B6,'控制台'!B5='刷新信息'!B8),A417='控制台'!B4,B417='控制台'!B5,OR(C417="应收",C417="应付"),COUNTIFS('往来余额'!A5:A6000,C417,'往来余额'!B5:B6000,D417)=1,E417&lt;&gt;"",COUNTIFS(A$5:A$504,A417,B$5:B$504,B417,C$5:C$504,C417,D$5:D$504,D417,E$5:E$504,E417)=1,ISNUMBER(F417),I417&gt;=0,ISNUMBER(H417),H417&gt;=0),"纳入","待核实"))</f>
        <v/>
      </c>
    </row>
    <row r="418">
      <c r="A418" s="13" t="n"/>
      <c r="B418" s="13" t="n"/>
      <c r="C418" s="13" t="n"/>
      <c r="D418" s="13" t="n"/>
      <c r="E418" s="13" t="n"/>
      <c r="F418" s="19" t="n"/>
      <c r="G418" s="19" t="n"/>
      <c r="H418" s="15" t="n"/>
      <c r="I418">
        <f>IF(OR(A418&lt;&gt; '控制台'!B4,B418&lt;&gt; '控制台'!B5,F418=""),"",DATE(VALUE(LEFT('控制台'!B5,4)),VALUE(RIGHT('控制台'!B5,2))+1,1)-1-F418)</f>
        <v/>
      </c>
      <c r="J418">
        <f>IF(OR(A418&lt;&gt; '控制台'!B4,B418&lt;&gt; '控制台'!B5,G418=""),"",MAX(0,DATE(VALUE(LEFT('控制台'!B5,4)),VALUE(RIGHT('控制台'!B5,2))+1,1)-1-G418))</f>
        <v/>
      </c>
      <c r="K418">
        <f>IF(A418="","",IF(AND(AND('控制台'!B4&lt;&gt;"",'控制台'!B5&lt;&gt;"",'控制台'!B4='刷新信息'!B6,'控制台'!B5='刷新信息'!B8),A418='控制台'!B4,B418='控制台'!B5,OR(C418="应收",C418="应付"),COUNTIFS('往来余额'!A5:A6000,C418,'往来余额'!B5:B6000,D418)=1,E418&lt;&gt;"",COUNTIFS(A$5:A$504,A418,B$5:B$504,B418,C$5:C$504,C418,D$5:D$504,D418,E$5:E$504,E418)=1,ISNUMBER(F418),I418&gt;=0,ISNUMBER(H418),H418&gt;=0),"纳入","待核实"))</f>
        <v/>
      </c>
    </row>
    <row r="419">
      <c r="A419" s="13" t="n"/>
      <c r="B419" s="13" t="n"/>
      <c r="C419" s="13" t="n"/>
      <c r="D419" s="13" t="n"/>
      <c r="E419" s="13" t="n"/>
      <c r="F419" s="19" t="n"/>
      <c r="G419" s="19" t="n"/>
      <c r="H419" s="15" t="n"/>
      <c r="I419">
        <f>IF(OR(A419&lt;&gt; '控制台'!B4,B419&lt;&gt; '控制台'!B5,F419=""),"",DATE(VALUE(LEFT('控制台'!B5,4)),VALUE(RIGHT('控制台'!B5,2))+1,1)-1-F419)</f>
        <v/>
      </c>
      <c r="J419">
        <f>IF(OR(A419&lt;&gt; '控制台'!B4,B419&lt;&gt; '控制台'!B5,G419=""),"",MAX(0,DATE(VALUE(LEFT('控制台'!B5,4)),VALUE(RIGHT('控制台'!B5,2))+1,1)-1-G419))</f>
        <v/>
      </c>
      <c r="K419">
        <f>IF(A419="","",IF(AND(AND('控制台'!B4&lt;&gt;"",'控制台'!B5&lt;&gt;"",'控制台'!B4='刷新信息'!B6,'控制台'!B5='刷新信息'!B8),A419='控制台'!B4,B419='控制台'!B5,OR(C419="应收",C419="应付"),COUNTIFS('往来余额'!A5:A6000,C419,'往来余额'!B5:B6000,D419)=1,E419&lt;&gt;"",COUNTIFS(A$5:A$504,A419,B$5:B$504,B419,C$5:C$504,C419,D$5:D$504,D419,E$5:E$504,E419)=1,ISNUMBER(F419),I419&gt;=0,ISNUMBER(H419),H419&gt;=0),"纳入","待核实"))</f>
        <v/>
      </c>
    </row>
    <row r="420">
      <c r="A420" s="13" t="n"/>
      <c r="B420" s="13" t="n"/>
      <c r="C420" s="13" t="n"/>
      <c r="D420" s="13" t="n"/>
      <c r="E420" s="13" t="n"/>
      <c r="F420" s="19" t="n"/>
      <c r="G420" s="19" t="n"/>
      <c r="H420" s="15" t="n"/>
      <c r="I420">
        <f>IF(OR(A420&lt;&gt; '控制台'!B4,B420&lt;&gt; '控制台'!B5,F420=""),"",DATE(VALUE(LEFT('控制台'!B5,4)),VALUE(RIGHT('控制台'!B5,2))+1,1)-1-F420)</f>
        <v/>
      </c>
      <c r="J420">
        <f>IF(OR(A420&lt;&gt; '控制台'!B4,B420&lt;&gt; '控制台'!B5,G420=""),"",MAX(0,DATE(VALUE(LEFT('控制台'!B5,4)),VALUE(RIGHT('控制台'!B5,2))+1,1)-1-G420))</f>
        <v/>
      </c>
      <c r="K420">
        <f>IF(A420="","",IF(AND(AND('控制台'!B4&lt;&gt;"",'控制台'!B5&lt;&gt;"",'控制台'!B4='刷新信息'!B6,'控制台'!B5='刷新信息'!B8),A420='控制台'!B4,B420='控制台'!B5,OR(C420="应收",C420="应付"),COUNTIFS('往来余额'!A5:A6000,C420,'往来余额'!B5:B6000,D420)=1,E420&lt;&gt;"",COUNTIFS(A$5:A$504,A420,B$5:B$504,B420,C$5:C$504,C420,D$5:D$504,D420,E$5:E$504,E420)=1,ISNUMBER(F420),I420&gt;=0,ISNUMBER(H420),H420&gt;=0),"纳入","待核实"))</f>
        <v/>
      </c>
    </row>
    <row r="421">
      <c r="A421" s="13" t="n"/>
      <c r="B421" s="13" t="n"/>
      <c r="C421" s="13" t="n"/>
      <c r="D421" s="13" t="n"/>
      <c r="E421" s="13" t="n"/>
      <c r="F421" s="19" t="n"/>
      <c r="G421" s="19" t="n"/>
      <c r="H421" s="15" t="n"/>
      <c r="I421">
        <f>IF(OR(A421&lt;&gt; '控制台'!B4,B421&lt;&gt; '控制台'!B5,F421=""),"",DATE(VALUE(LEFT('控制台'!B5,4)),VALUE(RIGHT('控制台'!B5,2))+1,1)-1-F421)</f>
        <v/>
      </c>
      <c r="J421">
        <f>IF(OR(A421&lt;&gt; '控制台'!B4,B421&lt;&gt; '控制台'!B5,G421=""),"",MAX(0,DATE(VALUE(LEFT('控制台'!B5,4)),VALUE(RIGHT('控制台'!B5,2))+1,1)-1-G421))</f>
        <v/>
      </c>
      <c r="K421">
        <f>IF(A421="","",IF(AND(AND('控制台'!B4&lt;&gt;"",'控制台'!B5&lt;&gt;"",'控制台'!B4='刷新信息'!B6,'控制台'!B5='刷新信息'!B8),A421='控制台'!B4,B421='控制台'!B5,OR(C421="应收",C421="应付"),COUNTIFS('往来余额'!A5:A6000,C421,'往来余额'!B5:B6000,D421)=1,E421&lt;&gt;"",COUNTIFS(A$5:A$504,A421,B$5:B$504,B421,C$5:C$504,C421,D$5:D$504,D421,E$5:E$504,E421)=1,ISNUMBER(F421),I421&gt;=0,ISNUMBER(H421),H421&gt;=0),"纳入","待核实"))</f>
        <v/>
      </c>
    </row>
    <row r="422">
      <c r="A422" s="13" t="n"/>
      <c r="B422" s="13" t="n"/>
      <c r="C422" s="13" t="n"/>
      <c r="D422" s="13" t="n"/>
      <c r="E422" s="13" t="n"/>
      <c r="F422" s="19" t="n"/>
      <c r="G422" s="19" t="n"/>
      <c r="H422" s="15" t="n"/>
      <c r="I422">
        <f>IF(OR(A422&lt;&gt; '控制台'!B4,B422&lt;&gt; '控制台'!B5,F422=""),"",DATE(VALUE(LEFT('控制台'!B5,4)),VALUE(RIGHT('控制台'!B5,2))+1,1)-1-F422)</f>
        <v/>
      </c>
      <c r="J422">
        <f>IF(OR(A422&lt;&gt; '控制台'!B4,B422&lt;&gt; '控制台'!B5,G422=""),"",MAX(0,DATE(VALUE(LEFT('控制台'!B5,4)),VALUE(RIGHT('控制台'!B5,2))+1,1)-1-G422))</f>
        <v/>
      </c>
      <c r="K422">
        <f>IF(A422="","",IF(AND(AND('控制台'!B4&lt;&gt;"",'控制台'!B5&lt;&gt;"",'控制台'!B4='刷新信息'!B6,'控制台'!B5='刷新信息'!B8),A422='控制台'!B4,B422='控制台'!B5,OR(C422="应收",C422="应付"),COUNTIFS('往来余额'!A5:A6000,C422,'往来余额'!B5:B6000,D422)=1,E422&lt;&gt;"",COUNTIFS(A$5:A$504,A422,B$5:B$504,B422,C$5:C$504,C422,D$5:D$504,D422,E$5:E$504,E422)=1,ISNUMBER(F422),I422&gt;=0,ISNUMBER(H422),H422&gt;=0),"纳入","待核实"))</f>
        <v/>
      </c>
    </row>
    <row r="423">
      <c r="A423" s="13" t="n"/>
      <c r="B423" s="13" t="n"/>
      <c r="C423" s="13" t="n"/>
      <c r="D423" s="13" t="n"/>
      <c r="E423" s="13" t="n"/>
      <c r="F423" s="19" t="n"/>
      <c r="G423" s="19" t="n"/>
      <c r="H423" s="15" t="n"/>
      <c r="I423">
        <f>IF(OR(A423&lt;&gt; '控制台'!B4,B423&lt;&gt; '控制台'!B5,F423=""),"",DATE(VALUE(LEFT('控制台'!B5,4)),VALUE(RIGHT('控制台'!B5,2))+1,1)-1-F423)</f>
        <v/>
      </c>
      <c r="J423">
        <f>IF(OR(A423&lt;&gt; '控制台'!B4,B423&lt;&gt; '控制台'!B5,G423=""),"",MAX(0,DATE(VALUE(LEFT('控制台'!B5,4)),VALUE(RIGHT('控制台'!B5,2))+1,1)-1-G423))</f>
        <v/>
      </c>
      <c r="K423">
        <f>IF(A423="","",IF(AND(AND('控制台'!B4&lt;&gt;"",'控制台'!B5&lt;&gt;"",'控制台'!B4='刷新信息'!B6,'控制台'!B5='刷新信息'!B8),A423='控制台'!B4,B423='控制台'!B5,OR(C423="应收",C423="应付"),COUNTIFS('往来余额'!A5:A6000,C423,'往来余额'!B5:B6000,D423)=1,E423&lt;&gt;"",COUNTIFS(A$5:A$504,A423,B$5:B$504,B423,C$5:C$504,C423,D$5:D$504,D423,E$5:E$504,E423)=1,ISNUMBER(F423),I423&gt;=0,ISNUMBER(H423),H423&gt;=0),"纳入","待核实"))</f>
        <v/>
      </c>
    </row>
    <row r="424">
      <c r="A424" s="13" t="n"/>
      <c r="B424" s="13" t="n"/>
      <c r="C424" s="13" t="n"/>
      <c r="D424" s="13" t="n"/>
      <c r="E424" s="13" t="n"/>
      <c r="F424" s="19" t="n"/>
      <c r="G424" s="19" t="n"/>
      <c r="H424" s="15" t="n"/>
      <c r="I424">
        <f>IF(OR(A424&lt;&gt; '控制台'!B4,B424&lt;&gt; '控制台'!B5,F424=""),"",DATE(VALUE(LEFT('控制台'!B5,4)),VALUE(RIGHT('控制台'!B5,2))+1,1)-1-F424)</f>
        <v/>
      </c>
      <c r="J424">
        <f>IF(OR(A424&lt;&gt; '控制台'!B4,B424&lt;&gt; '控制台'!B5,G424=""),"",MAX(0,DATE(VALUE(LEFT('控制台'!B5,4)),VALUE(RIGHT('控制台'!B5,2))+1,1)-1-G424))</f>
        <v/>
      </c>
      <c r="K424">
        <f>IF(A424="","",IF(AND(AND('控制台'!B4&lt;&gt;"",'控制台'!B5&lt;&gt;"",'控制台'!B4='刷新信息'!B6,'控制台'!B5='刷新信息'!B8),A424='控制台'!B4,B424='控制台'!B5,OR(C424="应收",C424="应付"),COUNTIFS('往来余额'!A5:A6000,C424,'往来余额'!B5:B6000,D424)=1,E424&lt;&gt;"",COUNTIFS(A$5:A$504,A424,B$5:B$504,B424,C$5:C$504,C424,D$5:D$504,D424,E$5:E$504,E424)=1,ISNUMBER(F424),I424&gt;=0,ISNUMBER(H424),H424&gt;=0),"纳入","待核实"))</f>
        <v/>
      </c>
    </row>
    <row r="425">
      <c r="A425" s="13" t="n"/>
      <c r="B425" s="13" t="n"/>
      <c r="C425" s="13" t="n"/>
      <c r="D425" s="13" t="n"/>
      <c r="E425" s="13" t="n"/>
      <c r="F425" s="19" t="n"/>
      <c r="G425" s="19" t="n"/>
      <c r="H425" s="15" t="n"/>
      <c r="I425">
        <f>IF(OR(A425&lt;&gt; '控制台'!B4,B425&lt;&gt; '控制台'!B5,F425=""),"",DATE(VALUE(LEFT('控制台'!B5,4)),VALUE(RIGHT('控制台'!B5,2))+1,1)-1-F425)</f>
        <v/>
      </c>
      <c r="J425">
        <f>IF(OR(A425&lt;&gt; '控制台'!B4,B425&lt;&gt; '控制台'!B5,G425=""),"",MAX(0,DATE(VALUE(LEFT('控制台'!B5,4)),VALUE(RIGHT('控制台'!B5,2))+1,1)-1-G425))</f>
        <v/>
      </c>
      <c r="K425">
        <f>IF(A425="","",IF(AND(AND('控制台'!B4&lt;&gt;"",'控制台'!B5&lt;&gt;"",'控制台'!B4='刷新信息'!B6,'控制台'!B5='刷新信息'!B8),A425='控制台'!B4,B425='控制台'!B5,OR(C425="应收",C425="应付"),COUNTIFS('往来余额'!A5:A6000,C425,'往来余额'!B5:B6000,D425)=1,E425&lt;&gt;"",COUNTIFS(A$5:A$504,A425,B$5:B$504,B425,C$5:C$504,C425,D$5:D$504,D425,E$5:E$504,E425)=1,ISNUMBER(F425),I425&gt;=0,ISNUMBER(H425),H425&gt;=0),"纳入","待核实"))</f>
        <v/>
      </c>
    </row>
    <row r="426">
      <c r="A426" s="13" t="n"/>
      <c r="B426" s="13" t="n"/>
      <c r="C426" s="13" t="n"/>
      <c r="D426" s="13" t="n"/>
      <c r="E426" s="13" t="n"/>
      <c r="F426" s="19" t="n"/>
      <c r="G426" s="19" t="n"/>
      <c r="H426" s="15" t="n"/>
      <c r="I426">
        <f>IF(OR(A426&lt;&gt; '控制台'!B4,B426&lt;&gt; '控制台'!B5,F426=""),"",DATE(VALUE(LEFT('控制台'!B5,4)),VALUE(RIGHT('控制台'!B5,2))+1,1)-1-F426)</f>
        <v/>
      </c>
      <c r="J426">
        <f>IF(OR(A426&lt;&gt; '控制台'!B4,B426&lt;&gt; '控制台'!B5,G426=""),"",MAX(0,DATE(VALUE(LEFT('控制台'!B5,4)),VALUE(RIGHT('控制台'!B5,2))+1,1)-1-G426))</f>
        <v/>
      </c>
      <c r="K426">
        <f>IF(A426="","",IF(AND(AND('控制台'!B4&lt;&gt;"",'控制台'!B5&lt;&gt;"",'控制台'!B4='刷新信息'!B6,'控制台'!B5='刷新信息'!B8),A426='控制台'!B4,B426='控制台'!B5,OR(C426="应收",C426="应付"),COUNTIFS('往来余额'!A5:A6000,C426,'往来余额'!B5:B6000,D426)=1,E426&lt;&gt;"",COUNTIFS(A$5:A$504,A426,B$5:B$504,B426,C$5:C$504,C426,D$5:D$504,D426,E$5:E$504,E426)=1,ISNUMBER(F426),I426&gt;=0,ISNUMBER(H426),H426&gt;=0),"纳入","待核实"))</f>
        <v/>
      </c>
    </row>
    <row r="427">
      <c r="A427" s="13" t="n"/>
      <c r="B427" s="13" t="n"/>
      <c r="C427" s="13" t="n"/>
      <c r="D427" s="13" t="n"/>
      <c r="E427" s="13" t="n"/>
      <c r="F427" s="19" t="n"/>
      <c r="G427" s="19" t="n"/>
      <c r="H427" s="15" t="n"/>
      <c r="I427">
        <f>IF(OR(A427&lt;&gt; '控制台'!B4,B427&lt;&gt; '控制台'!B5,F427=""),"",DATE(VALUE(LEFT('控制台'!B5,4)),VALUE(RIGHT('控制台'!B5,2))+1,1)-1-F427)</f>
        <v/>
      </c>
      <c r="J427">
        <f>IF(OR(A427&lt;&gt; '控制台'!B4,B427&lt;&gt; '控制台'!B5,G427=""),"",MAX(0,DATE(VALUE(LEFT('控制台'!B5,4)),VALUE(RIGHT('控制台'!B5,2))+1,1)-1-G427))</f>
        <v/>
      </c>
      <c r="K427">
        <f>IF(A427="","",IF(AND(AND('控制台'!B4&lt;&gt;"",'控制台'!B5&lt;&gt;"",'控制台'!B4='刷新信息'!B6,'控制台'!B5='刷新信息'!B8),A427='控制台'!B4,B427='控制台'!B5,OR(C427="应收",C427="应付"),COUNTIFS('往来余额'!A5:A6000,C427,'往来余额'!B5:B6000,D427)=1,E427&lt;&gt;"",COUNTIFS(A$5:A$504,A427,B$5:B$504,B427,C$5:C$504,C427,D$5:D$504,D427,E$5:E$504,E427)=1,ISNUMBER(F427),I427&gt;=0,ISNUMBER(H427),H427&gt;=0),"纳入","待核实"))</f>
        <v/>
      </c>
    </row>
    <row r="428">
      <c r="A428" s="13" t="n"/>
      <c r="B428" s="13" t="n"/>
      <c r="C428" s="13" t="n"/>
      <c r="D428" s="13" t="n"/>
      <c r="E428" s="13" t="n"/>
      <c r="F428" s="19" t="n"/>
      <c r="G428" s="19" t="n"/>
      <c r="H428" s="15" t="n"/>
      <c r="I428">
        <f>IF(OR(A428&lt;&gt; '控制台'!B4,B428&lt;&gt; '控制台'!B5,F428=""),"",DATE(VALUE(LEFT('控制台'!B5,4)),VALUE(RIGHT('控制台'!B5,2))+1,1)-1-F428)</f>
        <v/>
      </c>
      <c r="J428">
        <f>IF(OR(A428&lt;&gt; '控制台'!B4,B428&lt;&gt; '控制台'!B5,G428=""),"",MAX(0,DATE(VALUE(LEFT('控制台'!B5,4)),VALUE(RIGHT('控制台'!B5,2))+1,1)-1-G428))</f>
        <v/>
      </c>
      <c r="K428">
        <f>IF(A428="","",IF(AND(AND('控制台'!B4&lt;&gt;"",'控制台'!B5&lt;&gt;"",'控制台'!B4='刷新信息'!B6,'控制台'!B5='刷新信息'!B8),A428='控制台'!B4,B428='控制台'!B5,OR(C428="应收",C428="应付"),COUNTIFS('往来余额'!A5:A6000,C428,'往来余额'!B5:B6000,D428)=1,E428&lt;&gt;"",COUNTIFS(A$5:A$504,A428,B$5:B$504,B428,C$5:C$504,C428,D$5:D$504,D428,E$5:E$504,E428)=1,ISNUMBER(F428),I428&gt;=0,ISNUMBER(H428),H428&gt;=0),"纳入","待核实"))</f>
        <v/>
      </c>
    </row>
    <row r="429">
      <c r="A429" s="13" t="n"/>
      <c r="B429" s="13" t="n"/>
      <c r="C429" s="13" t="n"/>
      <c r="D429" s="13" t="n"/>
      <c r="E429" s="13" t="n"/>
      <c r="F429" s="19" t="n"/>
      <c r="G429" s="19" t="n"/>
      <c r="H429" s="15" t="n"/>
      <c r="I429">
        <f>IF(OR(A429&lt;&gt; '控制台'!B4,B429&lt;&gt; '控制台'!B5,F429=""),"",DATE(VALUE(LEFT('控制台'!B5,4)),VALUE(RIGHT('控制台'!B5,2))+1,1)-1-F429)</f>
        <v/>
      </c>
      <c r="J429">
        <f>IF(OR(A429&lt;&gt; '控制台'!B4,B429&lt;&gt; '控制台'!B5,G429=""),"",MAX(0,DATE(VALUE(LEFT('控制台'!B5,4)),VALUE(RIGHT('控制台'!B5,2))+1,1)-1-G429))</f>
        <v/>
      </c>
      <c r="K429">
        <f>IF(A429="","",IF(AND(AND('控制台'!B4&lt;&gt;"",'控制台'!B5&lt;&gt;"",'控制台'!B4='刷新信息'!B6,'控制台'!B5='刷新信息'!B8),A429='控制台'!B4,B429='控制台'!B5,OR(C429="应收",C429="应付"),COUNTIFS('往来余额'!A5:A6000,C429,'往来余额'!B5:B6000,D429)=1,E429&lt;&gt;"",COUNTIFS(A$5:A$504,A429,B$5:B$504,B429,C$5:C$504,C429,D$5:D$504,D429,E$5:E$504,E429)=1,ISNUMBER(F429),I429&gt;=0,ISNUMBER(H429),H429&gt;=0),"纳入","待核实"))</f>
        <v/>
      </c>
    </row>
    <row r="430">
      <c r="A430" s="13" t="n"/>
      <c r="B430" s="13" t="n"/>
      <c r="C430" s="13" t="n"/>
      <c r="D430" s="13" t="n"/>
      <c r="E430" s="13" t="n"/>
      <c r="F430" s="19" t="n"/>
      <c r="G430" s="19" t="n"/>
      <c r="H430" s="15" t="n"/>
      <c r="I430">
        <f>IF(OR(A430&lt;&gt; '控制台'!B4,B430&lt;&gt; '控制台'!B5,F430=""),"",DATE(VALUE(LEFT('控制台'!B5,4)),VALUE(RIGHT('控制台'!B5,2))+1,1)-1-F430)</f>
        <v/>
      </c>
      <c r="J430">
        <f>IF(OR(A430&lt;&gt; '控制台'!B4,B430&lt;&gt; '控制台'!B5,G430=""),"",MAX(0,DATE(VALUE(LEFT('控制台'!B5,4)),VALUE(RIGHT('控制台'!B5,2))+1,1)-1-G430))</f>
        <v/>
      </c>
      <c r="K430">
        <f>IF(A430="","",IF(AND(AND('控制台'!B4&lt;&gt;"",'控制台'!B5&lt;&gt;"",'控制台'!B4='刷新信息'!B6,'控制台'!B5='刷新信息'!B8),A430='控制台'!B4,B430='控制台'!B5,OR(C430="应收",C430="应付"),COUNTIFS('往来余额'!A5:A6000,C430,'往来余额'!B5:B6000,D430)=1,E430&lt;&gt;"",COUNTIFS(A$5:A$504,A430,B$5:B$504,B430,C$5:C$504,C430,D$5:D$504,D430,E$5:E$504,E430)=1,ISNUMBER(F430),I430&gt;=0,ISNUMBER(H430),H430&gt;=0),"纳入","待核实"))</f>
        <v/>
      </c>
    </row>
    <row r="431">
      <c r="A431" s="13" t="n"/>
      <c r="B431" s="13" t="n"/>
      <c r="C431" s="13" t="n"/>
      <c r="D431" s="13" t="n"/>
      <c r="E431" s="13" t="n"/>
      <c r="F431" s="19" t="n"/>
      <c r="G431" s="19" t="n"/>
      <c r="H431" s="15" t="n"/>
      <c r="I431">
        <f>IF(OR(A431&lt;&gt; '控制台'!B4,B431&lt;&gt; '控制台'!B5,F431=""),"",DATE(VALUE(LEFT('控制台'!B5,4)),VALUE(RIGHT('控制台'!B5,2))+1,1)-1-F431)</f>
        <v/>
      </c>
      <c r="J431">
        <f>IF(OR(A431&lt;&gt; '控制台'!B4,B431&lt;&gt; '控制台'!B5,G431=""),"",MAX(0,DATE(VALUE(LEFT('控制台'!B5,4)),VALUE(RIGHT('控制台'!B5,2))+1,1)-1-G431))</f>
        <v/>
      </c>
      <c r="K431">
        <f>IF(A431="","",IF(AND(AND('控制台'!B4&lt;&gt;"",'控制台'!B5&lt;&gt;"",'控制台'!B4='刷新信息'!B6,'控制台'!B5='刷新信息'!B8),A431='控制台'!B4,B431='控制台'!B5,OR(C431="应收",C431="应付"),COUNTIFS('往来余额'!A5:A6000,C431,'往来余额'!B5:B6000,D431)=1,E431&lt;&gt;"",COUNTIFS(A$5:A$504,A431,B$5:B$504,B431,C$5:C$504,C431,D$5:D$504,D431,E$5:E$504,E431)=1,ISNUMBER(F431),I431&gt;=0,ISNUMBER(H431),H431&gt;=0),"纳入","待核实"))</f>
        <v/>
      </c>
    </row>
    <row r="432">
      <c r="A432" s="13" t="n"/>
      <c r="B432" s="13" t="n"/>
      <c r="C432" s="13" t="n"/>
      <c r="D432" s="13" t="n"/>
      <c r="E432" s="13" t="n"/>
      <c r="F432" s="19" t="n"/>
      <c r="G432" s="19" t="n"/>
      <c r="H432" s="15" t="n"/>
      <c r="I432">
        <f>IF(OR(A432&lt;&gt; '控制台'!B4,B432&lt;&gt; '控制台'!B5,F432=""),"",DATE(VALUE(LEFT('控制台'!B5,4)),VALUE(RIGHT('控制台'!B5,2))+1,1)-1-F432)</f>
        <v/>
      </c>
      <c r="J432">
        <f>IF(OR(A432&lt;&gt; '控制台'!B4,B432&lt;&gt; '控制台'!B5,G432=""),"",MAX(0,DATE(VALUE(LEFT('控制台'!B5,4)),VALUE(RIGHT('控制台'!B5,2))+1,1)-1-G432))</f>
        <v/>
      </c>
      <c r="K432">
        <f>IF(A432="","",IF(AND(AND('控制台'!B4&lt;&gt;"",'控制台'!B5&lt;&gt;"",'控制台'!B4='刷新信息'!B6,'控制台'!B5='刷新信息'!B8),A432='控制台'!B4,B432='控制台'!B5,OR(C432="应收",C432="应付"),COUNTIFS('往来余额'!A5:A6000,C432,'往来余额'!B5:B6000,D432)=1,E432&lt;&gt;"",COUNTIFS(A$5:A$504,A432,B$5:B$504,B432,C$5:C$504,C432,D$5:D$504,D432,E$5:E$504,E432)=1,ISNUMBER(F432),I432&gt;=0,ISNUMBER(H432),H432&gt;=0),"纳入","待核实"))</f>
        <v/>
      </c>
    </row>
    <row r="433">
      <c r="A433" s="13" t="n"/>
      <c r="B433" s="13" t="n"/>
      <c r="C433" s="13" t="n"/>
      <c r="D433" s="13" t="n"/>
      <c r="E433" s="13" t="n"/>
      <c r="F433" s="19" t="n"/>
      <c r="G433" s="19" t="n"/>
      <c r="H433" s="15" t="n"/>
      <c r="I433">
        <f>IF(OR(A433&lt;&gt; '控制台'!B4,B433&lt;&gt; '控制台'!B5,F433=""),"",DATE(VALUE(LEFT('控制台'!B5,4)),VALUE(RIGHT('控制台'!B5,2))+1,1)-1-F433)</f>
        <v/>
      </c>
      <c r="J433">
        <f>IF(OR(A433&lt;&gt; '控制台'!B4,B433&lt;&gt; '控制台'!B5,G433=""),"",MAX(0,DATE(VALUE(LEFT('控制台'!B5,4)),VALUE(RIGHT('控制台'!B5,2))+1,1)-1-G433))</f>
        <v/>
      </c>
      <c r="K433">
        <f>IF(A433="","",IF(AND(AND('控制台'!B4&lt;&gt;"",'控制台'!B5&lt;&gt;"",'控制台'!B4='刷新信息'!B6,'控制台'!B5='刷新信息'!B8),A433='控制台'!B4,B433='控制台'!B5,OR(C433="应收",C433="应付"),COUNTIFS('往来余额'!A5:A6000,C433,'往来余额'!B5:B6000,D433)=1,E433&lt;&gt;"",COUNTIFS(A$5:A$504,A433,B$5:B$504,B433,C$5:C$504,C433,D$5:D$504,D433,E$5:E$504,E433)=1,ISNUMBER(F433),I433&gt;=0,ISNUMBER(H433),H433&gt;=0),"纳入","待核实"))</f>
        <v/>
      </c>
    </row>
    <row r="434">
      <c r="A434" s="13" t="n"/>
      <c r="B434" s="13" t="n"/>
      <c r="C434" s="13" t="n"/>
      <c r="D434" s="13" t="n"/>
      <c r="E434" s="13" t="n"/>
      <c r="F434" s="19" t="n"/>
      <c r="G434" s="19" t="n"/>
      <c r="H434" s="15" t="n"/>
      <c r="I434">
        <f>IF(OR(A434&lt;&gt; '控制台'!B4,B434&lt;&gt; '控制台'!B5,F434=""),"",DATE(VALUE(LEFT('控制台'!B5,4)),VALUE(RIGHT('控制台'!B5,2))+1,1)-1-F434)</f>
        <v/>
      </c>
      <c r="J434">
        <f>IF(OR(A434&lt;&gt; '控制台'!B4,B434&lt;&gt; '控制台'!B5,G434=""),"",MAX(0,DATE(VALUE(LEFT('控制台'!B5,4)),VALUE(RIGHT('控制台'!B5,2))+1,1)-1-G434))</f>
        <v/>
      </c>
      <c r="K434">
        <f>IF(A434="","",IF(AND(AND('控制台'!B4&lt;&gt;"",'控制台'!B5&lt;&gt;"",'控制台'!B4='刷新信息'!B6,'控制台'!B5='刷新信息'!B8),A434='控制台'!B4,B434='控制台'!B5,OR(C434="应收",C434="应付"),COUNTIFS('往来余额'!A5:A6000,C434,'往来余额'!B5:B6000,D434)=1,E434&lt;&gt;"",COUNTIFS(A$5:A$504,A434,B$5:B$504,B434,C$5:C$504,C434,D$5:D$504,D434,E$5:E$504,E434)=1,ISNUMBER(F434),I434&gt;=0,ISNUMBER(H434),H434&gt;=0),"纳入","待核实"))</f>
        <v/>
      </c>
    </row>
    <row r="435">
      <c r="A435" s="13" t="n"/>
      <c r="B435" s="13" t="n"/>
      <c r="C435" s="13" t="n"/>
      <c r="D435" s="13" t="n"/>
      <c r="E435" s="13" t="n"/>
      <c r="F435" s="19" t="n"/>
      <c r="G435" s="19" t="n"/>
      <c r="H435" s="15" t="n"/>
      <c r="I435">
        <f>IF(OR(A435&lt;&gt; '控制台'!B4,B435&lt;&gt; '控制台'!B5,F435=""),"",DATE(VALUE(LEFT('控制台'!B5,4)),VALUE(RIGHT('控制台'!B5,2))+1,1)-1-F435)</f>
        <v/>
      </c>
      <c r="J435">
        <f>IF(OR(A435&lt;&gt; '控制台'!B4,B435&lt;&gt; '控制台'!B5,G435=""),"",MAX(0,DATE(VALUE(LEFT('控制台'!B5,4)),VALUE(RIGHT('控制台'!B5,2))+1,1)-1-G435))</f>
        <v/>
      </c>
      <c r="K435">
        <f>IF(A435="","",IF(AND(AND('控制台'!B4&lt;&gt;"",'控制台'!B5&lt;&gt;"",'控制台'!B4='刷新信息'!B6,'控制台'!B5='刷新信息'!B8),A435='控制台'!B4,B435='控制台'!B5,OR(C435="应收",C435="应付"),COUNTIFS('往来余额'!A5:A6000,C435,'往来余额'!B5:B6000,D435)=1,E435&lt;&gt;"",COUNTIFS(A$5:A$504,A435,B$5:B$504,B435,C$5:C$504,C435,D$5:D$504,D435,E$5:E$504,E435)=1,ISNUMBER(F435),I435&gt;=0,ISNUMBER(H435),H435&gt;=0),"纳入","待核实"))</f>
        <v/>
      </c>
    </row>
    <row r="436">
      <c r="A436" s="13" t="n"/>
      <c r="B436" s="13" t="n"/>
      <c r="C436" s="13" t="n"/>
      <c r="D436" s="13" t="n"/>
      <c r="E436" s="13" t="n"/>
      <c r="F436" s="19" t="n"/>
      <c r="G436" s="19" t="n"/>
      <c r="H436" s="15" t="n"/>
      <c r="I436">
        <f>IF(OR(A436&lt;&gt; '控制台'!B4,B436&lt;&gt; '控制台'!B5,F436=""),"",DATE(VALUE(LEFT('控制台'!B5,4)),VALUE(RIGHT('控制台'!B5,2))+1,1)-1-F436)</f>
        <v/>
      </c>
      <c r="J436">
        <f>IF(OR(A436&lt;&gt; '控制台'!B4,B436&lt;&gt; '控制台'!B5,G436=""),"",MAX(0,DATE(VALUE(LEFT('控制台'!B5,4)),VALUE(RIGHT('控制台'!B5,2))+1,1)-1-G436))</f>
        <v/>
      </c>
      <c r="K436">
        <f>IF(A436="","",IF(AND(AND('控制台'!B4&lt;&gt;"",'控制台'!B5&lt;&gt;"",'控制台'!B4='刷新信息'!B6,'控制台'!B5='刷新信息'!B8),A436='控制台'!B4,B436='控制台'!B5,OR(C436="应收",C436="应付"),COUNTIFS('往来余额'!A5:A6000,C436,'往来余额'!B5:B6000,D436)=1,E436&lt;&gt;"",COUNTIFS(A$5:A$504,A436,B$5:B$504,B436,C$5:C$504,C436,D$5:D$504,D436,E$5:E$504,E436)=1,ISNUMBER(F436),I436&gt;=0,ISNUMBER(H436),H436&gt;=0),"纳入","待核实"))</f>
        <v/>
      </c>
    </row>
    <row r="437">
      <c r="A437" s="13" t="n"/>
      <c r="B437" s="13" t="n"/>
      <c r="C437" s="13" t="n"/>
      <c r="D437" s="13" t="n"/>
      <c r="E437" s="13" t="n"/>
      <c r="F437" s="19" t="n"/>
      <c r="G437" s="19" t="n"/>
      <c r="H437" s="15" t="n"/>
      <c r="I437">
        <f>IF(OR(A437&lt;&gt; '控制台'!B4,B437&lt;&gt; '控制台'!B5,F437=""),"",DATE(VALUE(LEFT('控制台'!B5,4)),VALUE(RIGHT('控制台'!B5,2))+1,1)-1-F437)</f>
        <v/>
      </c>
      <c r="J437">
        <f>IF(OR(A437&lt;&gt; '控制台'!B4,B437&lt;&gt; '控制台'!B5,G437=""),"",MAX(0,DATE(VALUE(LEFT('控制台'!B5,4)),VALUE(RIGHT('控制台'!B5,2))+1,1)-1-G437))</f>
        <v/>
      </c>
      <c r="K437">
        <f>IF(A437="","",IF(AND(AND('控制台'!B4&lt;&gt;"",'控制台'!B5&lt;&gt;"",'控制台'!B4='刷新信息'!B6,'控制台'!B5='刷新信息'!B8),A437='控制台'!B4,B437='控制台'!B5,OR(C437="应收",C437="应付"),COUNTIFS('往来余额'!A5:A6000,C437,'往来余额'!B5:B6000,D437)=1,E437&lt;&gt;"",COUNTIFS(A$5:A$504,A437,B$5:B$504,B437,C$5:C$504,C437,D$5:D$504,D437,E$5:E$504,E437)=1,ISNUMBER(F437),I437&gt;=0,ISNUMBER(H437),H437&gt;=0),"纳入","待核实"))</f>
        <v/>
      </c>
    </row>
    <row r="438">
      <c r="A438" s="13" t="n"/>
      <c r="B438" s="13" t="n"/>
      <c r="C438" s="13" t="n"/>
      <c r="D438" s="13" t="n"/>
      <c r="E438" s="13" t="n"/>
      <c r="F438" s="19" t="n"/>
      <c r="G438" s="19" t="n"/>
      <c r="H438" s="15" t="n"/>
      <c r="I438">
        <f>IF(OR(A438&lt;&gt; '控制台'!B4,B438&lt;&gt; '控制台'!B5,F438=""),"",DATE(VALUE(LEFT('控制台'!B5,4)),VALUE(RIGHT('控制台'!B5,2))+1,1)-1-F438)</f>
        <v/>
      </c>
      <c r="J438">
        <f>IF(OR(A438&lt;&gt; '控制台'!B4,B438&lt;&gt; '控制台'!B5,G438=""),"",MAX(0,DATE(VALUE(LEFT('控制台'!B5,4)),VALUE(RIGHT('控制台'!B5,2))+1,1)-1-G438))</f>
        <v/>
      </c>
      <c r="K438">
        <f>IF(A438="","",IF(AND(AND('控制台'!B4&lt;&gt;"",'控制台'!B5&lt;&gt;"",'控制台'!B4='刷新信息'!B6,'控制台'!B5='刷新信息'!B8),A438='控制台'!B4,B438='控制台'!B5,OR(C438="应收",C438="应付"),COUNTIFS('往来余额'!A5:A6000,C438,'往来余额'!B5:B6000,D438)=1,E438&lt;&gt;"",COUNTIFS(A$5:A$504,A438,B$5:B$504,B438,C$5:C$504,C438,D$5:D$504,D438,E$5:E$504,E438)=1,ISNUMBER(F438),I438&gt;=0,ISNUMBER(H438),H438&gt;=0),"纳入","待核实"))</f>
        <v/>
      </c>
    </row>
    <row r="439">
      <c r="A439" s="13" t="n"/>
      <c r="B439" s="13" t="n"/>
      <c r="C439" s="13" t="n"/>
      <c r="D439" s="13" t="n"/>
      <c r="E439" s="13" t="n"/>
      <c r="F439" s="19" t="n"/>
      <c r="G439" s="19" t="n"/>
      <c r="H439" s="15" t="n"/>
      <c r="I439">
        <f>IF(OR(A439&lt;&gt; '控制台'!B4,B439&lt;&gt; '控制台'!B5,F439=""),"",DATE(VALUE(LEFT('控制台'!B5,4)),VALUE(RIGHT('控制台'!B5,2))+1,1)-1-F439)</f>
        <v/>
      </c>
      <c r="J439">
        <f>IF(OR(A439&lt;&gt; '控制台'!B4,B439&lt;&gt; '控制台'!B5,G439=""),"",MAX(0,DATE(VALUE(LEFT('控制台'!B5,4)),VALUE(RIGHT('控制台'!B5,2))+1,1)-1-G439))</f>
        <v/>
      </c>
      <c r="K439">
        <f>IF(A439="","",IF(AND(AND('控制台'!B4&lt;&gt;"",'控制台'!B5&lt;&gt;"",'控制台'!B4='刷新信息'!B6,'控制台'!B5='刷新信息'!B8),A439='控制台'!B4,B439='控制台'!B5,OR(C439="应收",C439="应付"),COUNTIFS('往来余额'!A5:A6000,C439,'往来余额'!B5:B6000,D439)=1,E439&lt;&gt;"",COUNTIFS(A$5:A$504,A439,B$5:B$504,B439,C$5:C$504,C439,D$5:D$504,D439,E$5:E$504,E439)=1,ISNUMBER(F439),I439&gt;=0,ISNUMBER(H439),H439&gt;=0),"纳入","待核实"))</f>
        <v/>
      </c>
    </row>
    <row r="440">
      <c r="A440" s="13" t="n"/>
      <c r="B440" s="13" t="n"/>
      <c r="C440" s="13" t="n"/>
      <c r="D440" s="13" t="n"/>
      <c r="E440" s="13" t="n"/>
      <c r="F440" s="19" t="n"/>
      <c r="G440" s="19" t="n"/>
      <c r="H440" s="15" t="n"/>
      <c r="I440">
        <f>IF(OR(A440&lt;&gt; '控制台'!B4,B440&lt;&gt; '控制台'!B5,F440=""),"",DATE(VALUE(LEFT('控制台'!B5,4)),VALUE(RIGHT('控制台'!B5,2))+1,1)-1-F440)</f>
        <v/>
      </c>
      <c r="J440">
        <f>IF(OR(A440&lt;&gt; '控制台'!B4,B440&lt;&gt; '控制台'!B5,G440=""),"",MAX(0,DATE(VALUE(LEFT('控制台'!B5,4)),VALUE(RIGHT('控制台'!B5,2))+1,1)-1-G440))</f>
        <v/>
      </c>
      <c r="K440">
        <f>IF(A440="","",IF(AND(AND('控制台'!B4&lt;&gt;"",'控制台'!B5&lt;&gt;"",'控制台'!B4='刷新信息'!B6,'控制台'!B5='刷新信息'!B8),A440='控制台'!B4,B440='控制台'!B5,OR(C440="应收",C440="应付"),COUNTIFS('往来余额'!A5:A6000,C440,'往来余额'!B5:B6000,D440)=1,E440&lt;&gt;"",COUNTIFS(A$5:A$504,A440,B$5:B$504,B440,C$5:C$504,C440,D$5:D$504,D440,E$5:E$504,E440)=1,ISNUMBER(F440),I440&gt;=0,ISNUMBER(H440),H440&gt;=0),"纳入","待核实"))</f>
        <v/>
      </c>
    </row>
    <row r="441">
      <c r="A441" s="13" t="n"/>
      <c r="B441" s="13" t="n"/>
      <c r="C441" s="13" t="n"/>
      <c r="D441" s="13" t="n"/>
      <c r="E441" s="13" t="n"/>
      <c r="F441" s="19" t="n"/>
      <c r="G441" s="19" t="n"/>
      <c r="H441" s="15" t="n"/>
      <c r="I441">
        <f>IF(OR(A441&lt;&gt; '控制台'!B4,B441&lt;&gt; '控制台'!B5,F441=""),"",DATE(VALUE(LEFT('控制台'!B5,4)),VALUE(RIGHT('控制台'!B5,2))+1,1)-1-F441)</f>
        <v/>
      </c>
      <c r="J441">
        <f>IF(OR(A441&lt;&gt; '控制台'!B4,B441&lt;&gt; '控制台'!B5,G441=""),"",MAX(0,DATE(VALUE(LEFT('控制台'!B5,4)),VALUE(RIGHT('控制台'!B5,2))+1,1)-1-G441))</f>
        <v/>
      </c>
      <c r="K441">
        <f>IF(A441="","",IF(AND(AND('控制台'!B4&lt;&gt;"",'控制台'!B5&lt;&gt;"",'控制台'!B4='刷新信息'!B6,'控制台'!B5='刷新信息'!B8),A441='控制台'!B4,B441='控制台'!B5,OR(C441="应收",C441="应付"),COUNTIFS('往来余额'!A5:A6000,C441,'往来余额'!B5:B6000,D441)=1,E441&lt;&gt;"",COUNTIFS(A$5:A$504,A441,B$5:B$504,B441,C$5:C$504,C441,D$5:D$504,D441,E$5:E$504,E441)=1,ISNUMBER(F441),I441&gt;=0,ISNUMBER(H441),H441&gt;=0),"纳入","待核实"))</f>
        <v/>
      </c>
    </row>
    <row r="442">
      <c r="A442" s="13" t="n"/>
      <c r="B442" s="13" t="n"/>
      <c r="C442" s="13" t="n"/>
      <c r="D442" s="13" t="n"/>
      <c r="E442" s="13" t="n"/>
      <c r="F442" s="19" t="n"/>
      <c r="G442" s="19" t="n"/>
      <c r="H442" s="15" t="n"/>
      <c r="I442">
        <f>IF(OR(A442&lt;&gt; '控制台'!B4,B442&lt;&gt; '控制台'!B5,F442=""),"",DATE(VALUE(LEFT('控制台'!B5,4)),VALUE(RIGHT('控制台'!B5,2))+1,1)-1-F442)</f>
        <v/>
      </c>
      <c r="J442">
        <f>IF(OR(A442&lt;&gt; '控制台'!B4,B442&lt;&gt; '控制台'!B5,G442=""),"",MAX(0,DATE(VALUE(LEFT('控制台'!B5,4)),VALUE(RIGHT('控制台'!B5,2))+1,1)-1-G442))</f>
        <v/>
      </c>
      <c r="K442">
        <f>IF(A442="","",IF(AND(AND('控制台'!B4&lt;&gt;"",'控制台'!B5&lt;&gt;"",'控制台'!B4='刷新信息'!B6,'控制台'!B5='刷新信息'!B8),A442='控制台'!B4,B442='控制台'!B5,OR(C442="应收",C442="应付"),COUNTIFS('往来余额'!A5:A6000,C442,'往来余额'!B5:B6000,D442)=1,E442&lt;&gt;"",COUNTIFS(A$5:A$504,A442,B$5:B$504,B442,C$5:C$504,C442,D$5:D$504,D442,E$5:E$504,E442)=1,ISNUMBER(F442),I442&gt;=0,ISNUMBER(H442),H442&gt;=0),"纳入","待核实"))</f>
        <v/>
      </c>
    </row>
    <row r="443">
      <c r="A443" s="13" t="n"/>
      <c r="B443" s="13" t="n"/>
      <c r="C443" s="13" t="n"/>
      <c r="D443" s="13" t="n"/>
      <c r="E443" s="13" t="n"/>
      <c r="F443" s="19" t="n"/>
      <c r="G443" s="19" t="n"/>
      <c r="H443" s="15" t="n"/>
      <c r="I443">
        <f>IF(OR(A443&lt;&gt; '控制台'!B4,B443&lt;&gt; '控制台'!B5,F443=""),"",DATE(VALUE(LEFT('控制台'!B5,4)),VALUE(RIGHT('控制台'!B5,2))+1,1)-1-F443)</f>
        <v/>
      </c>
      <c r="J443">
        <f>IF(OR(A443&lt;&gt; '控制台'!B4,B443&lt;&gt; '控制台'!B5,G443=""),"",MAX(0,DATE(VALUE(LEFT('控制台'!B5,4)),VALUE(RIGHT('控制台'!B5,2))+1,1)-1-G443))</f>
        <v/>
      </c>
      <c r="K443">
        <f>IF(A443="","",IF(AND(AND('控制台'!B4&lt;&gt;"",'控制台'!B5&lt;&gt;"",'控制台'!B4='刷新信息'!B6,'控制台'!B5='刷新信息'!B8),A443='控制台'!B4,B443='控制台'!B5,OR(C443="应收",C443="应付"),COUNTIFS('往来余额'!A5:A6000,C443,'往来余额'!B5:B6000,D443)=1,E443&lt;&gt;"",COUNTIFS(A$5:A$504,A443,B$5:B$504,B443,C$5:C$504,C443,D$5:D$504,D443,E$5:E$504,E443)=1,ISNUMBER(F443),I443&gt;=0,ISNUMBER(H443),H443&gt;=0),"纳入","待核实"))</f>
        <v/>
      </c>
    </row>
    <row r="444">
      <c r="A444" s="13" t="n"/>
      <c r="B444" s="13" t="n"/>
      <c r="C444" s="13" t="n"/>
      <c r="D444" s="13" t="n"/>
      <c r="E444" s="13" t="n"/>
      <c r="F444" s="19" t="n"/>
      <c r="G444" s="19" t="n"/>
      <c r="H444" s="15" t="n"/>
      <c r="I444">
        <f>IF(OR(A444&lt;&gt; '控制台'!B4,B444&lt;&gt; '控制台'!B5,F444=""),"",DATE(VALUE(LEFT('控制台'!B5,4)),VALUE(RIGHT('控制台'!B5,2))+1,1)-1-F444)</f>
        <v/>
      </c>
      <c r="J444">
        <f>IF(OR(A444&lt;&gt; '控制台'!B4,B444&lt;&gt; '控制台'!B5,G444=""),"",MAX(0,DATE(VALUE(LEFT('控制台'!B5,4)),VALUE(RIGHT('控制台'!B5,2))+1,1)-1-G444))</f>
        <v/>
      </c>
      <c r="K444">
        <f>IF(A444="","",IF(AND(AND('控制台'!B4&lt;&gt;"",'控制台'!B5&lt;&gt;"",'控制台'!B4='刷新信息'!B6,'控制台'!B5='刷新信息'!B8),A444='控制台'!B4,B444='控制台'!B5,OR(C444="应收",C444="应付"),COUNTIFS('往来余额'!A5:A6000,C444,'往来余额'!B5:B6000,D444)=1,E444&lt;&gt;"",COUNTIFS(A$5:A$504,A444,B$5:B$504,B444,C$5:C$504,C444,D$5:D$504,D444,E$5:E$504,E444)=1,ISNUMBER(F444),I444&gt;=0,ISNUMBER(H444),H444&gt;=0),"纳入","待核实"))</f>
        <v/>
      </c>
    </row>
    <row r="445">
      <c r="A445" s="13" t="n"/>
      <c r="B445" s="13" t="n"/>
      <c r="C445" s="13" t="n"/>
      <c r="D445" s="13" t="n"/>
      <c r="E445" s="13" t="n"/>
      <c r="F445" s="19" t="n"/>
      <c r="G445" s="19" t="n"/>
      <c r="H445" s="15" t="n"/>
      <c r="I445">
        <f>IF(OR(A445&lt;&gt; '控制台'!B4,B445&lt;&gt; '控制台'!B5,F445=""),"",DATE(VALUE(LEFT('控制台'!B5,4)),VALUE(RIGHT('控制台'!B5,2))+1,1)-1-F445)</f>
        <v/>
      </c>
      <c r="J445">
        <f>IF(OR(A445&lt;&gt; '控制台'!B4,B445&lt;&gt; '控制台'!B5,G445=""),"",MAX(0,DATE(VALUE(LEFT('控制台'!B5,4)),VALUE(RIGHT('控制台'!B5,2))+1,1)-1-G445))</f>
        <v/>
      </c>
      <c r="K445">
        <f>IF(A445="","",IF(AND(AND('控制台'!B4&lt;&gt;"",'控制台'!B5&lt;&gt;"",'控制台'!B4='刷新信息'!B6,'控制台'!B5='刷新信息'!B8),A445='控制台'!B4,B445='控制台'!B5,OR(C445="应收",C445="应付"),COUNTIFS('往来余额'!A5:A6000,C445,'往来余额'!B5:B6000,D445)=1,E445&lt;&gt;"",COUNTIFS(A$5:A$504,A445,B$5:B$504,B445,C$5:C$504,C445,D$5:D$504,D445,E$5:E$504,E445)=1,ISNUMBER(F445),I445&gt;=0,ISNUMBER(H445),H445&gt;=0),"纳入","待核实"))</f>
        <v/>
      </c>
    </row>
    <row r="446">
      <c r="A446" s="13" t="n"/>
      <c r="B446" s="13" t="n"/>
      <c r="C446" s="13" t="n"/>
      <c r="D446" s="13" t="n"/>
      <c r="E446" s="13" t="n"/>
      <c r="F446" s="19" t="n"/>
      <c r="G446" s="19" t="n"/>
      <c r="H446" s="15" t="n"/>
      <c r="I446">
        <f>IF(OR(A446&lt;&gt; '控制台'!B4,B446&lt;&gt; '控制台'!B5,F446=""),"",DATE(VALUE(LEFT('控制台'!B5,4)),VALUE(RIGHT('控制台'!B5,2))+1,1)-1-F446)</f>
        <v/>
      </c>
      <c r="J446">
        <f>IF(OR(A446&lt;&gt; '控制台'!B4,B446&lt;&gt; '控制台'!B5,G446=""),"",MAX(0,DATE(VALUE(LEFT('控制台'!B5,4)),VALUE(RIGHT('控制台'!B5,2))+1,1)-1-G446))</f>
        <v/>
      </c>
      <c r="K446">
        <f>IF(A446="","",IF(AND(AND('控制台'!B4&lt;&gt;"",'控制台'!B5&lt;&gt;"",'控制台'!B4='刷新信息'!B6,'控制台'!B5='刷新信息'!B8),A446='控制台'!B4,B446='控制台'!B5,OR(C446="应收",C446="应付"),COUNTIFS('往来余额'!A5:A6000,C446,'往来余额'!B5:B6000,D446)=1,E446&lt;&gt;"",COUNTIFS(A$5:A$504,A446,B$5:B$504,B446,C$5:C$504,C446,D$5:D$504,D446,E$5:E$504,E446)=1,ISNUMBER(F446),I446&gt;=0,ISNUMBER(H446),H446&gt;=0),"纳入","待核实"))</f>
        <v/>
      </c>
    </row>
    <row r="447">
      <c r="A447" s="13" t="n"/>
      <c r="B447" s="13" t="n"/>
      <c r="C447" s="13" t="n"/>
      <c r="D447" s="13" t="n"/>
      <c r="E447" s="13" t="n"/>
      <c r="F447" s="19" t="n"/>
      <c r="G447" s="19" t="n"/>
      <c r="H447" s="15" t="n"/>
      <c r="I447">
        <f>IF(OR(A447&lt;&gt; '控制台'!B4,B447&lt;&gt; '控制台'!B5,F447=""),"",DATE(VALUE(LEFT('控制台'!B5,4)),VALUE(RIGHT('控制台'!B5,2))+1,1)-1-F447)</f>
        <v/>
      </c>
      <c r="J447">
        <f>IF(OR(A447&lt;&gt; '控制台'!B4,B447&lt;&gt; '控制台'!B5,G447=""),"",MAX(0,DATE(VALUE(LEFT('控制台'!B5,4)),VALUE(RIGHT('控制台'!B5,2))+1,1)-1-G447))</f>
        <v/>
      </c>
      <c r="K447">
        <f>IF(A447="","",IF(AND(AND('控制台'!B4&lt;&gt;"",'控制台'!B5&lt;&gt;"",'控制台'!B4='刷新信息'!B6,'控制台'!B5='刷新信息'!B8),A447='控制台'!B4,B447='控制台'!B5,OR(C447="应收",C447="应付"),COUNTIFS('往来余额'!A5:A6000,C447,'往来余额'!B5:B6000,D447)=1,E447&lt;&gt;"",COUNTIFS(A$5:A$504,A447,B$5:B$504,B447,C$5:C$504,C447,D$5:D$504,D447,E$5:E$504,E447)=1,ISNUMBER(F447),I447&gt;=0,ISNUMBER(H447),H447&gt;=0),"纳入","待核实"))</f>
        <v/>
      </c>
    </row>
    <row r="448">
      <c r="A448" s="13" t="n"/>
      <c r="B448" s="13" t="n"/>
      <c r="C448" s="13" t="n"/>
      <c r="D448" s="13" t="n"/>
      <c r="E448" s="13" t="n"/>
      <c r="F448" s="19" t="n"/>
      <c r="G448" s="19" t="n"/>
      <c r="H448" s="15" t="n"/>
      <c r="I448">
        <f>IF(OR(A448&lt;&gt; '控制台'!B4,B448&lt;&gt; '控制台'!B5,F448=""),"",DATE(VALUE(LEFT('控制台'!B5,4)),VALUE(RIGHT('控制台'!B5,2))+1,1)-1-F448)</f>
        <v/>
      </c>
      <c r="J448">
        <f>IF(OR(A448&lt;&gt; '控制台'!B4,B448&lt;&gt; '控制台'!B5,G448=""),"",MAX(0,DATE(VALUE(LEFT('控制台'!B5,4)),VALUE(RIGHT('控制台'!B5,2))+1,1)-1-G448))</f>
        <v/>
      </c>
      <c r="K448">
        <f>IF(A448="","",IF(AND(AND('控制台'!B4&lt;&gt;"",'控制台'!B5&lt;&gt;"",'控制台'!B4='刷新信息'!B6,'控制台'!B5='刷新信息'!B8),A448='控制台'!B4,B448='控制台'!B5,OR(C448="应收",C448="应付"),COUNTIFS('往来余额'!A5:A6000,C448,'往来余额'!B5:B6000,D448)=1,E448&lt;&gt;"",COUNTIFS(A$5:A$504,A448,B$5:B$504,B448,C$5:C$504,C448,D$5:D$504,D448,E$5:E$504,E448)=1,ISNUMBER(F448),I448&gt;=0,ISNUMBER(H448),H448&gt;=0),"纳入","待核实"))</f>
        <v/>
      </c>
    </row>
    <row r="449">
      <c r="A449" s="13" t="n"/>
      <c r="B449" s="13" t="n"/>
      <c r="C449" s="13" t="n"/>
      <c r="D449" s="13" t="n"/>
      <c r="E449" s="13" t="n"/>
      <c r="F449" s="19" t="n"/>
      <c r="G449" s="19" t="n"/>
      <c r="H449" s="15" t="n"/>
      <c r="I449">
        <f>IF(OR(A449&lt;&gt; '控制台'!B4,B449&lt;&gt; '控制台'!B5,F449=""),"",DATE(VALUE(LEFT('控制台'!B5,4)),VALUE(RIGHT('控制台'!B5,2))+1,1)-1-F449)</f>
        <v/>
      </c>
      <c r="J449">
        <f>IF(OR(A449&lt;&gt; '控制台'!B4,B449&lt;&gt; '控制台'!B5,G449=""),"",MAX(0,DATE(VALUE(LEFT('控制台'!B5,4)),VALUE(RIGHT('控制台'!B5,2))+1,1)-1-G449))</f>
        <v/>
      </c>
      <c r="K449">
        <f>IF(A449="","",IF(AND(AND('控制台'!B4&lt;&gt;"",'控制台'!B5&lt;&gt;"",'控制台'!B4='刷新信息'!B6,'控制台'!B5='刷新信息'!B8),A449='控制台'!B4,B449='控制台'!B5,OR(C449="应收",C449="应付"),COUNTIFS('往来余额'!A5:A6000,C449,'往来余额'!B5:B6000,D449)=1,E449&lt;&gt;"",COUNTIFS(A$5:A$504,A449,B$5:B$504,B449,C$5:C$504,C449,D$5:D$504,D449,E$5:E$504,E449)=1,ISNUMBER(F449),I449&gt;=0,ISNUMBER(H449),H449&gt;=0),"纳入","待核实"))</f>
        <v/>
      </c>
    </row>
    <row r="450">
      <c r="A450" s="13" t="n"/>
      <c r="B450" s="13" t="n"/>
      <c r="C450" s="13" t="n"/>
      <c r="D450" s="13" t="n"/>
      <c r="E450" s="13" t="n"/>
      <c r="F450" s="19" t="n"/>
      <c r="G450" s="19" t="n"/>
      <c r="H450" s="15" t="n"/>
      <c r="I450">
        <f>IF(OR(A450&lt;&gt; '控制台'!B4,B450&lt;&gt; '控制台'!B5,F450=""),"",DATE(VALUE(LEFT('控制台'!B5,4)),VALUE(RIGHT('控制台'!B5,2))+1,1)-1-F450)</f>
        <v/>
      </c>
      <c r="J450">
        <f>IF(OR(A450&lt;&gt; '控制台'!B4,B450&lt;&gt; '控制台'!B5,G450=""),"",MAX(0,DATE(VALUE(LEFT('控制台'!B5,4)),VALUE(RIGHT('控制台'!B5,2))+1,1)-1-G450))</f>
        <v/>
      </c>
      <c r="K450">
        <f>IF(A450="","",IF(AND(AND('控制台'!B4&lt;&gt;"",'控制台'!B5&lt;&gt;"",'控制台'!B4='刷新信息'!B6,'控制台'!B5='刷新信息'!B8),A450='控制台'!B4,B450='控制台'!B5,OR(C450="应收",C450="应付"),COUNTIFS('往来余额'!A5:A6000,C450,'往来余额'!B5:B6000,D450)=1,E450&lt;&gt;"",COUNTIFS(A$5:A$504,A450,B$5:B$504,B450,C$5:C$504,C450,D$5:D$504,D450,E$5:E$504,E450)=1,ISNUMBER(F450),I450&gt;=0,ISNUMBER(H450),H450&gt;=0),"纳入","待核实"))</f>
        <v/>
      </c>
    </row>
    <row r="451">
      <c r="A451" s="13" t="n"/>
      <c r="B451" s="13" t="n"/>
      <c r="C451" s="13" t="n"/>
      <c r="D451" s="13" t="n"/>
      <c r="E451" s="13" t="n"/>
      <c r="F451" s="19" t="n"/>
      <c r="G451" s="19" t="n"/>
      <c r="H451" s="15" t="n"/>
      <c r="I451">
        <f>IF(OR(A451&lt;&gt; '控制台'!B4,B451&lt;&gt; '控制台'!B5,F451=""),"",DATE(VALUE(LEFT('控制台'!B5,4)),VALUE(RIGHT('控制台'!B5,2))+1,1)-1-F451)</f>
        <v/>
      </c>
      <c r="J451">
        <f>IF(OR(A451&lt;&gt; '控制台'!B4,B451&lt;&gt; '控制台'!B5,G451=""),"",MAX(0,DATE(VALUE(LEFT('控制台'!B5,4)),VALUE(RIGHT('控制台'!B5,2))+1,1)-1-G451))</f>
        <v/>
      </c>
      <c r="K451">
        <f>IF(A451="","",IF(AND(AND('控制台'!B4&lt;&gt;"",'控制台'!B5&lt;&gt;"",'控制台'!B4='刷新信息'!B6,'控制台'!B5='刷新信息'!B8),A451='控制台'!B4,B451='控制台'!B5,OR(C451="应收",C451="应付"),COUNTIFS('往来余额'!A5:A6000,C451,'往来余额'!B5:B6000,D451)=1,E451&lt;&gt;"",COUNTIFS(A$5:A$504,A451,B$5:B$504,B451,C$5:C$504,C451,D$5:D$504,D451,E$5:E$504,E451)=1,ISNUMBER(F451),I451&gt;=0,ISNUMBER(H451),H451&gt;=0),"纳入","待核实"))</f>
        <v/>
      </c>
    </row>
    <row r="452">
      <c r="A452" s="13" t="n"/>
      <c r="B452" s="13" t="n"/>
      <c r="C452" s="13" t="n"/>
      <c r="D452" s="13" t="n"/>
      <c r="E452" s="13" t="n"/>
      <c r="F452" s="19" t="n"/>
      <c r="G452" s="19" t="n"/>
      <c r="H452" s="15" t="n"/>
      <c r="I452">
        <f>IF(OR(A452&lt;&gt; '控制台'!B4,B452&lt;&gt; '控制台'!B5,F452=""),"",DATE(VALUE(LEFT('控制台'!B5,4)),VALUE(RIGHT('控制台'!B5,2))+1,1)-1-F452)</f>
        <v/>
      </c>
      <c r="J452">
        <f>IF(OR(A452&lt;&gt; '控制台'!B4,B452&lt;&gt; '控制台'!B5,G452=""),"",MAX(0,DATE(VALUE(LEFT('控制台'!B5,4)),VALUE(RIGHT('控制台'!B5,2))+1,1)-1-G452))</f>
        <v/>
      </c>
      <c r="K452">
        <f>IF(A452="","",IF(AND(AND('控制台'!B4&lt;&gt;"",'控制台'!B5&lt;&gt;"",'控制台'!B4='刷新信息'!B6,'控制台'!B5='刷新信息'!B8),A452='控制台'!B4,B452='控制台'!B5,OR(C452="应收",C452="应付"),COUNTIFS('往来余额'!A5:A6000,C452,'往来余额'!B5:B6000,D452)=1,E452&lt;&gt;"",COUNTIFS(A$5:A$504,A452,B$5:B$504,B452,C$5:C$504,C452,D$5:D$504,D452,E$5:E$504,E452)=1,ISNUMBER(F452),I452&gt;=0,ISNUMBER(H452),H452&gt;=0),"纳入","待核实"))</f>
        <v/>
      </c>
    </row>
    <row r="453">
      <c r="A453" s="13" t="n"/>
      <c r="B453" s="13" t="n"/>
      <c r="C453" s="13" t="n"/>
      <c r="D453" s="13" t="n"/>
      <c r="E453" s="13" t="n"/>
      <c r="F453" s="19" t="n"/>
      <c r="G453" s="19" t="n"/>
      <c r="H453" s="15" t="n"/>
      <c r="I453">
        <f>IF(OR(A453&lt;&gt; '控制台'!B4,B453&lt;&gt; '控制台'!B5,F453=""),"",DATE(VALUE(LEFT('控制台'!B5,4)),VALUE(RIGHT('控制台'!B5,2))+1,1)-1-F453)</f>
        <v/>
      </c>
      <c r="J453">
        <f>IF(OR(A453&lt;&gt; '控制台'!B4,B453&lt;&gt; '控制台'!B5,G453=""),"",MAX(0,DATE(VALUE(LEFT('控制台'!B5,4)),VALUE(RIGHT('控制台'!B5,2))+1,1)-1-G453))</f>
        <v/>
      </c>
      <c r="K453">
        <f>IF(A453="","",IF(AND(AND('控制台'!B4&lt;&gt;"",'控制台'!B5&lt;&gt;"",'控制台'!B4='刷新信息'!B6,'控制台'!B5='刷新信息'!B8),A453='控制台'!B4,B453='控制台'!B5,OR(C453="应收",C453="应付"),COUNTIFS('往来余额'!A5:A6000,C453,'往来余额'!B5:B6000,D453)=1,E453&lt;&gt;"",COUNTIFS(A$5:A$504,A453,B$5:B$504,B453,C$5:C$504,C453,D$5:D$504,D453,E$5:E$504,E453)=1,ISNUMBER(F453),I453&gt;=0,ISNUMBER(H453),H453&gt;=0),"纳入","待核实"))</f>
        <v/>
      </c>
    </row>
    <row r="454">
      <c r="A454" s="13" t="n"/>
      <c r="B454" s="13" t="n"/>
      <c r="C454" s="13" t="n"/>
      <c r="D454" s="13" t="n"/>
      <c r="E454" s="13" t="n"/>
      <c r="F454" s="19" t="n"/>
      <c r="G454" s="19" t="n"/>
      <c r="H454" s="15" t="n"/>
      <c r="I454">
        <f>IF(OR(A454&lt;&gt; '控制台'!B4,B454&lt;&gt; '控制台'!B5,F454=""),"",DATE(VALUE(LEFT('控制台'!B5,4)),VALUE(RIGHT('控制台'!B5,2))+1,1)-1-F454)</f>
        <v/>
      </c>
      <c r="J454">
        <f>IF(OR(A454&lt;&gt; '控制台'!B4,B454&lt;&gt; '控制台'!B5,G454=""),"",MAX(0,DATE(VALUE(LEFT('控制台'!B5,4)),VALUE(RIGHT('控制台'!B5,2))+1,1)-1-G454))</f>
        <v/>
      </c>
      <c r="K454">
        <f>IF(A454="","",IF(AND(AND('控制台'!B4&lt;&gt;"",'控制台'!B5&lt;&gt;"",'控制台'!B4='刷新信息'!B6,'控制台'!B5='刷新信息'!B8),A454='控制台'!B4,B454='控制台'!B5,OR(C454="应收",C454="应付"),COUNTIFS('往来余额'!A5:A6000,C454,'往来余额'!B5:B6000,D454)=1,E454&lt;&gt;"",COUNTIFS(A$5:A$504,A454,B$5:B$504,B454,C$5:C$504,C454,D$5:D$504,D454,E$5:E$504,E454)=1,ISNUMBER(F454),I454&gt;=0,ISNUMBER(H454),H454&gt;=0),"纳入","待核实"))</f>
        <v/>
      </c>
    </row>
    <row r="455">
      <c r="A455" s="13" t="n"/>
      <c r="B455" s="13" t="n"/>
      <c r="C455" s="13" t="n"/>
      <c r="D455" s="13" t="n"/>
      <c r="E455" s="13" t="n"/>
      <c r="F455" s="19" t="n"/>
      <c r="G455" s="19" t="n"/>
      <c r="H455" s="15" t="n"/>
      <c r="I455">
        <f>IF(OR(A455&lt;&gt; '控制台'!B4,B455&lt;&gt; '控制台'!B5,F455=""),"",DATE(VALUE(LEFT('控制台'!B5,4)),VALUE(RIGHT('控制台'!B5,2))+1,1)-1-F455)</f>
        <v/>
      </c>
      <c r="J455">
        <f>IF(OR(A455&lt;&gt; '控制台'!B4,B455&lt;&gt; '控制台'!B5,G455=""),"",MAX(0,DATE(VALUE(LEFT('控制台'!B5,4)),VALUE(RIGHT('控制台'!B5,2))+1,1)-1-G455))</f>
        <v/>
      </c>
      <c r="K455">
        <f>IF(A455="","",IF(AND(AND('控制台'!B4&lt;&gt;"",'控制台'!B5&lt;&gt;"",'控制台'!B4='刷新信息'!B6,'控制台'!B5='刷新信息'!B8),A455='控制台'!B4,B455='控制台'!B5,OR(C455="应收",C455="应付"),COUNTIFS('往来余额'!A5:A6000,C455,'往来余额'!B5:B6000,D455)=1,E455&lt;&gt;"",COUNTIFS(A$5:A$504,A455,B$5:B$504,B455,C$5:C$504,C455,D$5:D$504,D455,E$5:E$504,E455)=1,ISNUMBER(F455),I455&gt;=0,ISNUMBER(H455),H455&gt;=0),"纳入","待核实"))</f>
        <v/>
      </c>
    </row>
    <row r="456">
      <c r="A456" s="13" t="n"/>
      <c r="B456" s="13" t="n"/>
      <c r="C456" s="13" t="n"/>
      <c r="D456" s="13" t="n"/>
      <c r="E456" s="13" t="n"/>
      <c r="F456" s="19" t="n"/>
      <c r="G456" s="19" t="n"/>
      <c r="H456" s="15" t="n"/>
      <c r="I456">
        <f>IF(OR(A456&lt;&gt; '控制台'!B4,B456&lt;&gt; '控制台'!B5,F456=""),"",DATE(VALUE(LEFT('控制台'!B5,4)),VALUE(RIGHT('控制台'!B5,2))+1,1)-1-F456)</f>
        <v/>
      </c>
      <c r="J456">
        <f>IF(OR(A456&lt;&gt; '控制台'!B4,B456&lt;&gt; '控制台'!B5,G456=""),"",MAX(0,DATE(VALUE(LEFT('控制台'!B5,4)),VALUE(RIGHT('控制台'!B5,2))+1,1)-1-G456))</f>
        <v/>
      </c>
      <c r="K456">
        <f>IF(A456="","",IF(AND(AND('控制台'!B4&lt;&gt;"",'控制台'!B5&lt;&gt;"",'控制台'!B4='刷新信息'!B6,'控制台'!B5='刷新信息'!B8),A456='控制台'!B4,B456='控制台'!B5,OR(C456="应收",C456="应付"),COUNTIFS('往来余额'!A5:A6000,C456,'往来余额'!B5:B6000,D456)=1,E456&lt;&gt;"",COUNTIFS(A$5:A$504,A456,B$5:B$504,B456,C$5:C$504,C456,D$5:D$504,D456,E$5:E$504,E456)=1,ISNUMBER(F456),I456&gt;=0,ISNUMBER(H456),H456&gt;=0),"纳入","待核实"))</f>
        <v/>
      </c>
    </row>
    <row r="457">
      <c r="A457" s="13" t="n"/>
      <c r="B457" s="13" t="n"/>
      <c r="C457" s="13" t="n"/>
      <c r="D457" s="13" t="n"/>
      <c r="E457" s="13" t="n"/>
      <c r="F457" s="19" t="n"/>
      <c r="G457" s="19" t="n"/>
      <c r="H457" s="15" t="n"/>
      <c r="I457">
        <f>IF(OR(A457&lt;&gt; '控制台'!B4,B457&lt;&gt; '控制台'!B5,F457=""),"",DATE(VALUE(LEFT('控制台'!B5,4)),VALUE(RIGHT('控制台'!B5,2))+1,1)-1-F457)</f>
        <v/>
      </c>
      <c r="J457">
        <f>IF(OR(A457&lt;&gt; '控制台'!B4,B457&lt;&gt; '控制台'!B5,G457=""),"",MAX(0,DATE(VALUE(LEFT('控制台'!B5,4)),VALUE(RIGHT('控制台'!B5,2))+1,1)-1-G457))</f>
        <v/>
      </c>
      <c r="K457">
        <f>IF(A457="","",IF(AND(AND('控制台'!B4&lt;&gt;"",'控制台'!B5&lt;&gt;"",'控制台'!B4='刷新信息'!B6,'控制台'!B5='刷新信息'!B8),A457='控制台'!B4,B457='控制台'!B5,OR(C457="应收",C457="应付"),COUNTIFS('往来余额'!A5:A6000,C457,'往来余额'!B5:B6000,D457)=1,E457&lt;&gt;"",COUNTIFS(A$5:A$504,A457,B$5:B$504,B457,C$5:C$504,C457,D$5:D$504,D457,E$5:E$504,E457)=1,ISNUMBER(F457),I457&gt;=0,ISNUMBER(H457),H457&gt;=0),"纳入","待核实"))</f>
        <v/>
      </c>
    </row>
    <row r="458">
      <c r="A458" s="13" t="n"/>
      <c r="B458" s="13" t="n"/>
      <c r="C458" s="13" t="n"/>
      <c r="D458" s="13" t="n"/>
      <c r="E458" s="13" t="n"/>
      <c r="F458" s="19" t="n"/>
      <c r="G458" s="19" t="n"/>
      <c r="H458" s="15" t="n"/>
      <c r="I458">
        <f>IF(OR(A458&lt;&gt; '控制台'!B4,B458&lt;&gt; '控制台'!B5,F458=""),"",DATE(VALUE(LEFT('控制台'!B5,4)),VALUE(RIGHT('控制台'!B5,2))+1,1)-1-F458)</f>
        <v/>
      </c>
      <c r="J458">
        <f>IF(OR(A458&lt;&gt; '控制台'!B4,B458&lt;&gt; '控制台'!B5,G458=""),"",MAX(0,DATE(VALUE(LEFT('控制台'!B5,4)),VALUE(RIGHT('控制台'!B5,2))+1,1)-1-G458))</f>
        <v/>
      </c>
      <c r="K458">
        <f>IF(A458="","",IF(AND(AND('控制台'!B4&lt;&gt;"",'控制台'!B5&lt;&gt;"",'控制台'!B4='刷新信息'!B6,'控制台'!B5='刷新信息'!B8),A458='控制台'!B4,B458='控制台'!B5,OR(C458="应收",C458="应付"),COUNTIFS('往来余额'!A5:A6000,C458,'往来余额'!B5:B6000,D458)=1,E458&lt;&gt;"",COUNTIFS(A$5:A$504,A458,B$5:B$504,B458,C$5:C$504,C458,D$5:D$504,D458,E$5:E$504,E458)=1,ISNUMBER(F458),I458&gt;=0,ISNUMBER(H458),H458&gt;=0),"纳入","待核实"))</f>
        <v/>
      </c>
    </row>
    <row r="459">
      <c r="A459" s="13" t="n"/>
      <c r="B459" s="13" t="n"/>
      <c r="C459" s="13" t="n"/>
      <c r="D459" s="13" t="n"/>
      <c r="E459" s="13" t="n"/>
      <c r="F459" s="19" t="n"/>
      <c r="G459" s="19" t="n"/>
      <c r="H459" s="15" t="n"/>
      <c r="I459">
        <f>IF(OR(A459&lt;&gt; '控制台'!B4,B459&lt;&gt; '控制台'!B5,F459=""),"",DATE(VALUE(LEFT('控制台'!B5,4)),VALUE(RIGHT('控制台'!B5,2))+1,1)-1-F459)</f>
        <v/>
      </c>
      <c r="J459">
        <f>IF(OR(A459&lt;&gt; '控制台'!B4,B459&lt;&gt; '控制台'!B5,G459=""),"",MAX(0,DATE(VALUE(LEFT('控制台'!B5,4)),VALUE(RIGHT('控制台'!B5,2))+1,1)-1-G459))</f>
        <v/>
      </c>
      <c r="K459">
        <f>IF(A459="","",IF(AND(AND('控制台'!B4&lt;&gt;"",'控制台'!B5&lt;&gt;"",'控制台'!B4='刷新信息'!B6,'控制台'!B5='刷新信息'!B8),A459='控制台'!B4,B459='控制台'!B5,OR(C459="应收",C459="应付"),COUNTIFS('往来余额'!A5:A6000,C459,'往来余额'!B5:B6000,D459)=1,E459&lt;&gt;"",COUNTIFS(A$5:A$504,A459,B$5:B$504,B459,C$5:C$504,C459,D$5:D$504,D459,E$5:E$504,E459)=1,ISNUMBER(F459),I459&gt;=0,ISNUMBER(H459),H459&gt;=0),"纳入","待核实"))</f>
        <v/>
      </c>
    </row>
    <row r="460">
      <c r="A460" s="13" t="n"/>
      <c r="B460" s="13" t="n"/>
      <c r="C460" s="13" t="n"/>
      <c r="D460" s="13" t="n"/>
      <c r="E460" s="13" t="n"/>
      <c r="F460" s="19" t="n"/>
      <c r="G460" s="19" t="n"/>
      <c r="H460" s="15" t="n"/>
      <c r="I460">
        <f>IF(OR(A460&lt;&gt; '控制台'!B4,B460&lt;&gt; '控制台'!B5,F460=""),"",DATE(VALUE(LEFT('控制台'!B5,4)),VALUE(RIGHT('控制台'!B5,2))+1,1)-1-F460)</f>
        <v/>
      </c>
      <c r="J460">
        <f>IF(OR(A460&lt;&gt; '控制台'!B4,B460&lt;&gt; '控制台'!B5,G460=""),"",MAX(0,DATE(VALUE(LEFT('控制台'!B5,4)),VALUE(RIGHT('控制台'!B5,2))+1,1)-1-G460))</f>
        <v/>
      </c>
      <c r="K460">
        <f>IF(A460="","",IF(AND(AND('控制台'!B4&lt;&gt;"",'控制台'!B5&lt;&gt;"",'控制台'!B4='刷新信息'!B6,'控制台'!B5='刷新信息'!B8),A460='控制台'!B4,B460='控制台'!B5,OR(C460="应收",C460="应付"),COUNTIFS('往来余额'!A5:A6000,C460,'往来余额'!B5:B6000,D460)=1,E460&lt;&gt;"",COUNTIFS(A$5:A$504,A460,B$5:B$504,B460,C$5:C$504,C460,D$5:D$504,D460,E$5:E$504,E460)=1,ISNUMBER(F460),I460&gt;=0,ISNUMBER(H460),H460&gt;=0),"纳入","待核实"))</f>
        <v/>
      </c>
    </row>
    <row r="461">
      <c r="A461" s="13" t="n"/>
      <c r="B461" s="13" t="n"/>
      <c r="C461" s="13" t="n"/>
      <c r="D461" s="13" t="n"/>
      <c r="E461" s="13" t="n"/>
      <c r="F461" s="19" t="n"/>
      <c r="G461" s="19" t="n"/>
      <c r="H461" s="15" t="n"/>
      <c r="I461">
        <f>IF(OR(A461&lt;&gt; '控制台'!B4,B461&lt;&gt; '控制台'!B5,F461=""),"",DATE(VALUE(LEFT('控制台'!B5,4)),VALUE(RIGHT('控制台'!B5,2))+1,1)-1-F461)</f>
        <v/>
      </c>
      <c r="J461">
        <f>IF(OR(A461&lt;&gt; '控制台'!B4,B461&lt;&gt; '控制台'!B5,G461=""),"",MAX(0,DATE(VALUE(LEFT('控制台'!B5,4)),VALUE(RIGHT('控制台'!B5,2))+1,1)-1-G461))</f>
        <v/>
      </c>
      <c r="K461">
        <f>IF(A461="","",IF(AND(AND('控制台'!B4&lt;&gt;"",'控制台'!B5&lt;&gt;"",'控制台'!B4='刷新信息'!B6,'控制台'!B5='刷新信息'!B8),A461='控制台'!B4,B461='控制台'!B5,OR(C461="应收",C461="应付"),COUNTIFS('往来余额'!A5:A6000,C461,'往来余额'!B5:B6000,D461)=1,E461&lt;&gt;"",COUNTIFS(A$5:A$504,A461,B$5:B$504,B461,C$5:C$504,C461,D$5:D$504,D461,E$5:E$504,E461)=1,ISNUMBER(F461),I461&gt;=0,ISNUMBER(H461),H461&gt;=0),"纳入","待核实"))</f>
        <v/>
      </c>
    </row>
    <row r="462">
      <c r="A462" s="13" t="n"/>
      <c r="B462" s="13" t="n"/>
      <c r="C462" s="13" t="n"/>
      <c r="D462" s="13" t="n"/>
      <c r="E462" s="13" t="n"/>
      <c r="F462" s="19" t="n"/>
      <c r="G462" s="19" t="n"/>
      <c r="H462" s="15" t="n"/>
      <c r="I462">
        <f>IF(OR(A462&lt;&gt; '控制台'!B4,B462&lt;&gt; '控制台'!B5,F462=""),"",DATE(VALUE(LEFT('控制台'!B5,4)),VALUE(RIGHT('控制台'!B5,2))+1,1)-1-F462)</f>
        <v/>
      </c>
      <c r="J462">
        <f>IF(OR(A462&lt;&gt; '控制台'!B4,B462&lt;&gt; '控制台'!B5,G462=""),"",MAX(0,DATE(VALUE(LEFT('控制台'!B5,4)),VALUE(RIGHT('控制台'!B5,2))+1,1)-1-G462))</f>
        <v/>
      </c>
      <c r="K462">
        <f>IF(A462="","",IF(AND(AND('控制台'!B4&lt;&gt;"",'控制台'!B5&lt;&gt;"",'控制台'!B4='刷新信息'!B6,'控制台'!B5='刷新信息'!B8),A462='控制台'!B4,B462='控制台'!B5,OR(C462="应收",C462="应付"),COUNTIFS('往来余额'!A5:A6000,C462,'往来余额'!B5:B6000,D462)=1,E462&lt;&gt;"",COUNTIFS(A$5:A$504,A462,B$5:B$504,B462,C$5:C$504,C462,D$5:D$504,D462,E$5:E$504,E462)=1,ISNUMBER(F462),I462&gt;=0,ISNUMBER(H462),H462&gt;=0),"纳入","待核实"))</f>
        <v/>
      </c>
    </row>
    <row r="463">
      <c r="A463" s="13" t="n"/>
      <c r="B463" s="13" t="n"/>
      <c r="C463" s="13" t="n"/>
      <c r="D463" s="13" t="n"/>
      <c r="E463" s="13" t="n"/>
      <c r="F463" s="19" t="n"/>
      <c r="G463" s="19" t="n"/>
      <c r="H463" s="15" t="n"/>
      <c r="I463">
        <f>IF(OR(A463&lt;&gt; '控制台'!B4,B463&lt;&gt; '控制台'!B5,F463=""),"",DATE(VALUE(LEFT('控制台'!B5,4)),VALUE(RIGHT('控制台'!B5,2))+1,1)-1-F463)</f>
        <v/>
      </c>
      <c r="J463">
        <f>IF(OR(A463&lt;&gt; '控制台'!B4,B463&lt;&gt; '控制台'!B5,G463=""),"",MAX(0,DATE(VALUE(LEFT('控制台'!B5,4)),VALUE(RIGHT('控制台'!B5,2))+1,1)-1-G463))</f>
        <v/>
      </c>
      <c r="K463">
        <f>IF(A463="","",IF(AND(AND('控制台'!B4&lt;&gt;"",'控制台'!B5&lt;&gt;"",'控制台'!B4='刷新信息'!B6,'控制台'!B5='刷新信息'!B8),A463='控制台'!B4,B463='控制台'!B5,OR(C463="应收",C463="应付"),COUNTIFS('往来余额'!A5:A6000,C463,'往来余额'!B5:B6000,D463)=1,E463&lt;&gt;"",COUNTIFS(A$5:A$504,A463,B$5:B$504,B463,C$5:C$504,C463,D$5:D$504,D463,E$5:E$504,E463)=1,ISNUMBER(F463),I463&gt;=0,ISNUMBER(H463),H463&gt;=0),"纳入","待核实"))</f>
        <v/>
      </c>
    </row>
    <row r="464">
      <c r="A464" s="13" t="n"/>
      <c r="B464" s="13" t="n"/>
      <c r="C464" s="13" t="n"/>
      <c r="D464" s="13" t="n"/>
      <c r="E464" s="13" t="n"/>
      <c r="F464" s="19" t="n"/>
      <c r="G464" s="19" t="n"/>
      <c r="H464" s="15" t="n"/>
      <c r="I464">
        <f>IF(OR(A464&lt;&gt; '控制台'!B4,B464&lt;&gt; '控制台'!B5,F464=""),"",DATE(VALUE(LEFT('控制台'!B5,4)),VALUE(RIGHT('控制台'!B5,2))+1,1)-1-F464)</f>
        <v/>
      </c>
      <c r="J464">
        <f>IF(OR(A464&lt;&gt; '控制台'!B4,B464&lt;&gt; '控制台'!B5,G464=""),"",MAX(0,DATE(VALUE(LEFT('控制台'!B5,4)),VALUE(RIGHT('控制台'!B5,2))+1,1)-1-G464))</f>
        <v/>
      </c>
      <c r="K464">
        <f>IF(A464="","",IF(AND(AND('控制台'!B4&lt;&gt;"",'控制台'!B5&lt;&gt;"",'控制台'!B4='刷新信息'!B6,'控制台'!B5='刷新信息'!B8),A464='控制台'!B4,B464='控制台'!B5,OR(C464="应收",C464="应付"),COUNTIFS('往来余额'!A5:A6000,C464,'往来余额'!B5:B6000,D464)=1,E464&lt;&gt;"",COUNTIFS(A$5:A$504,A464,B$5:B$504,B464,C$5:C$504,C464,D$5:D$504,D464,E$5:E$504,E464)=1,ISNUMBER(F464),I464&gt;=0,ISNUMBER(H464),H464&gt;=0),"纳入","待核实"))</f>
        <v/>
      </c>
    </row>
    <row r="465">
      <c r="A465" s="13" t="n"/>
      <c r="B465" s="13" t="n"/>
      <c r="C465" s="13" t="n"/>
      <c r="D465" s="13" t="n"/>
      <c r="E465" s="13" t="n"/>
      <c r="F465" s="19" t="n"/>
      <c r="G465" s="19" t="n"/>
      <c r="H465" s="15" t="n"/>
      <c r="I465">
        <f>IF(OR(A465&lt;&gt; '控制台'!B4,B465&lt;&gt; '控制台'!B5,F465=""),"",DATE(VALUE(LEFT('控制台'!B5,4)),VALUE(RIGHT('控制台'!B5,2))+1,1)-1-F465)</f>
        <v/>
      </c>
      <c r="J465">
        <f>IF(OR(A465&lt;&gt; '控制台'!B4,B465&lt;&gt; '控制台'!B5,G465=""),"",MAX(0,DATE(VALUE(LEFT('控制台'!B5,4)),VALUE(RIGHT('控制台'!B5,2))+1,1)-1-G465))</f>
        <v/>
      </c>
      <c r="K465">
        <f>IF(A465="","",IF(AND(AND('控制台'!B4&lt;&gt;"",'控制台'!B5&lt;&gt;"",'控制台'!B4='刷新信息'!B6,'控制台'!B5='刷新信息'!B8),A465='控制台'!B4,B465='控制台'!B5,OR(C465="应收",C465="应付"),COUNTIFS('往来余额'!A5:A6000,C465,'往来余额'!B5:B6000,D465)=1,E465&lt;&gt;"",COUNTIFS(A$5:A$504,A465,B$5:B$504,B465,C$5:C$504,C465,D$5:D$504,D465,E$5:E$504,E465)=1,ISNUMBER(F465),I465&gt;=0,ISNUMBER(H465),H465&gt;=0),"纳入","待核实"))</f>
        <v/>
      </c>
    </row>
    <row r="466">
      <c r="A466" s="13" t="n"/>
      <c r="B466" s="13" t="n"/>
      <c r="C466" s="13" t="n"/>
      <c r="D466" s="13" t="n"/>
      <c r="E466" s="13" t="n"/>
      <c r="F466" s="19" t="n"/>
      <c r="G466" s="19" t="n"/>
      <c r="H466" s="15" t="n"/>
      <c r="I466">
        <f>IF(OR(A466&lt;&gt; '控制台'!B4,B466&lt;&gt; '控制台'!B5,F466=""),"",DATE(VALUE(LEFT('控制台'!B5,4)),VALUE(RIGHT('控制台'!B5,2))+1,1)-1-F466)</f>
        <v/>
      </c>
      <c r="J466">
        <f>IF(OR(A466&lt;&gt; '控制台'!B4,B466&lt;&gt; '控制台'!B5,G466=""),"",MAX(0,DATE(VALUE(LEFT('控制台'!B5,4)),VALUE(RIGHT('控制台'!B5,2))+1,1)-1-G466))</f>
        <v/>
      </c>
      <c r="K466">
        <f>IF(A466="","",IF(AND(AND('控制台'!B4&lt;&gt;"",'控制台'!B5&lt;&gt;"",'控制台'!B4='刷新信息'!B6,'控制台'!B5='刷新信息'!B8),A466='控制台'!B4,B466='控制台'!B5,OR(C466="应收",C466="应付"),COUNTIFS('往来余额'!A5:A6000,C466,'往来余额'!B5:B6000,D466)=1,E466&lt;&gt;"",COUNTIFS(A$5:A$504,A466,B$5:B$504,B466,C$5:C$504,C466,D$5:D$504,D466,E$5:E$504,E466)=1,ISNUMBER(F466),I466&gt;=0,ISNUMBER(H466),H466&gt;=0),"纳入","待核实"))</f>
        <v/>
      </c>
    </row>
    <row r="467">
      <c r="A467" s="13" t="n"/>
      <c r="B467" s="13" t="n"/>
      <c r="C467" s="13" t="n"/>
      <c r="D467" s="13" t="n"/>
      <c r="E467" s="13" t="n"/>
      <c r="F467" s="19" t="n"/>
      <c r="G467" s="19" t="n"/>
      <c r="H467" s="15" t="n"/>
      <c r="I467">
        <f>IF(OR(A467&lt;&gt; '控制台'!B4,B467&lt;&gt; '控制台'!B5,F467=""),"",DATE(VALUE(LEFT('控制台'!B5,4)),VALUE(RIGHT('控制台'!B5,2))+1,1)-1-F467)</f>
        <v/>
      </c>
      <c r="J467">
        <f>IF(OR(A467&lt;&gt; '控制台'!B4,B467&lt;&gt; '控制台'!B5,G467=""),"",MAX(0,DATE(VALUE(LEFT('控制台'!B5,4)),VALUE(RIGHT('控制台'!B5,2))+1,1)-1-G467))</f>
        <v/>
      </c>
      <c r="K467">
        <f>IF(A467="","",IF(AND(AND('控制台'!B4&lt;&gt;"",'控制台'!B5&lt;&gt;"",'控制台'!B4='刷新信息'!B6,'控制台'!B5='刷新信息'!B8),A467='控制台'!B4,B467='控制台'!B5,OR(C467="应收",C467="应付"),COUNTIFS('往来余额'!A5:A6000,C467,'往来余额'!B5:B6000,D467)=1,E467&lt;&gt;"",COUNTIFS(A$5:A$504,A467,B$5:B$504,B467,C$5:C$504,C467,D$5:D$504,D467,E$5:E$504,E467)=1,ISNUMBER(F467),I467&gt;=0,ISNUMBER(H467),H467&gt;=0),"纳入","待核实"))</f>
        <v/>
      </c>
    </row>
    <row r="468">
      <c r="A468" s="13" t="n"/>
      <c r="B468" s="13" t="n"/>
      <c r="C468" s="13" t="n"/>
      <c r="D468" s="13" t="n"/>
      <c r="E468" s="13" t="n"/>
      <c r="F468" s="19" t="n"/>
      <c r="G468" s="19" t="n"/>
      <c r="H468" s="15" t="n"/>
      <c r="I468">
        <f>IF(OR(A468&lt;&gt; '控制台'!B4,B468&lt;&gt; '控制台'!B5,F468=""),"",DATE(VALUE(LEFT('控制台'!B5,4)),VALUE(RIGHT('控制台'!B5,2))+1,1)-1-F468)</f>
        <v/>
      </c>
      <c r="J468">
        <f>IF(OR(A468&lt;&gt; '控制台'!B4,B468&lt;&gt; '控制台'!B5,G468=""),"",MAX(0,DATE(VALUE(LEFT('控制台'!B5,4)),VALUE(RIGHT('控制台'!B5,2))+1,1)-1-G468))</f>
        <v/>
      </c>
      <c r="K468">
        <f>IF(A468="","",IF(AND(AND('控制台'!B4&lt;&gt;"",'控制台'!B5&lt;&gt;"",'控制台'!B4='刷新信息'!B6,'控制台'!B5='刷新信息'!B8),A468='控制台'!B4,B468='控制台'!B5,OR(C468="应收",C468="应付"),COUNTIFS('往来余额'!A5:A6000,C468,'往来余额'!B5:B6000,D468)=1,E468&lt;&gt;"",COUNTIFS(A$5:A$504,A468,B$5:B$504,B468,C$5:C$504,C468,D$5:D$504,D468,E$5:E$504,E468)=1,ISNUMBER(F468),I468&gt;=0,ISNUMBER(H468),H468&gt;=0),"纳入","待核实"))</f>
        <v/>
      </c>
    </row>
    <row r="469">
      <c r="A469" s="13" t="n"/>
      <c r="B469" s="13" t="n"/>
      <c r="C469" s="13" t="n"/>
      <c r="D469" s="13" t="n"/>
      <c r="E469" s="13" t="n"/>
      <c r="F469" s="19" t="n"/>
      <c r="G469" s="19" t="n"/>
      <c r="H469" s="15" t="n"/>
      <c r="I469">
        <f>IF(OR(A469&lt;&gt; '控制台'!B4,B469&lt;&gt; '控制台'!B5,F469=""),"",DATE(VALUE(LEFT('控制台'!B5,4)),VALUE(RIGHT('控制台'!B5,2))+1,1)-1-F469)</f>
        <v/>
      </c>
      <c r="J469">
        <f>IF(OR(A469&lt;&gt; '控制台'!B4,B469&lt;&gt; '控制台'!B5,G469=""),"",MAX(0,DATE(VALUE(LEFT('控制台'!B5,4)),VALUE(RIGHT('控制台'!B5,2))+1,1)-1-G469))</f>
        <v/>
      </c>
      <c r="K469">
        <f>IF(A469="","",IF(AND(AND('控制台'!B4&lt;&gt;"",'控制台'!B5&lt;&gt;"",'控制台'!B4='刷新信息'!B6,'控制台'!B5='刷新信息'!B8),A469='控制台'!B4,B469='控制台'!B5,OR(C469="应收",C469="应付"),COUNTIFS('往来余额'!A5:A6000,C469,'往来余额'!B5:B6000,D469)=1,E469&lt;&gt;"",COUNTIFS(A$5:A$504,A469,B$5:B$504,B469,C$5:C$504,C469,D$5:D$504,D469,E$5:E$504,E469)=1,ISNUMBER(F469),I469&gt;=0,ISNUMBER(H469),H469&gt;=0),"纳入","待核实"))</f>
        <v/>
      </c>
    </row>
    <row r="470">
      <c r="A470" s="13" t="n"/>
      <c r="B470" s="13" t="n"/>
      <c r="C470" s="13" t="n"/>
      <c r="D470" s="13" t="n"/>
      <c r="E470" s="13" t="n"/>
      <c r="F470" s="19" t="n"/>
      <c r="G470" s="19" t="n"/>
      <c r="H470" s="15" t="n"/>
      <c r="I470">
        <f>IF(OR(A470&lt;&gt; '控制台'!B4,B470&lt;&gt; '控制台'!B5,F470=""),"",DATE(VALUE(LEFT('控制台'!B5,4)),VALUE(RIGHT('控制台'!B5,2))+1,1)-1-F470)</f>
        <v/>
      </c>
      <c r="J470">
        <f>IF(OR(A470&lt;&gt; '控制台'!B4,B470&lt;&gt; '控制台'!B5,G470=""),"",MAX(0,DATE(VALUE(LEFT('控制台'!B5,4)),VALUE(RIGHT('控制台'!B5,2))+1,1)-1-G470))</f>
        <v/>
      </c>
      <c r="K470">
        <f>IF(A470="","",IF(AND(AND('控制台'!B4&lt;&gt;"",'控制台'!B5&lt;&gt;"",'控制台'!B4='刷新信息'!B6,'控制台'!B5='刷新信息'!B8),A470='控制台'!B4,B470='控制台'!B5,OR(C470="应收",C470="应付"),COUNTIFS('往来余额'!A5:A6000,C470,'往来余额'!B5:B6000,D470)=1,E470&lt;&gt;"",COUNTIFS(A$5:A$504,A470,B$5:B$504,B470,C$5:C$504,C470,D$5:D$504,D470,E$5:E$504,E470)=1,ISNUMBER(F470),I470&gt;=0,ISNUMBER(H470),H470&gt;=0),"纳入","待核实"))</f>
        <v/>
      </c>
    </row>
    <row r="471">
      <c r="A471" s="13" t="n"/>
      <c r="B471" s="13" t="n"/>
      <c r="C471" s="13" t="n"/>
      <c r="D471" s="13" t="n"/>
      <c r="E471" s="13" t="n"/>
      <c r="F471" s="19" t="n"/>
      <c r="G471" s="19" t="n"/>
      <c r="H471" s="15" t="n"/>
      <c r="I471">
        <f>IF(OR(A471&lt;&gt; '控制台'!B4,B471&lt;&gt; '控制台'!B5,F471=""),"",DATE(VALUE(LEFT('控制台'!B5,4)),VALUE(RIGHT('控制台'!B5,2))+1,1)-1-F471)</f>
        <v/>
      </c>
      <c r="J471">
        <f>IF(OR(A471&lt;&gt; '控制台'!B4,B471&lt;&gt; '控制台'!B5,G471=""),"",MAX(0,DATE(VALUE(LEFT('控制台'!B5,4)),VALUE(RIGHT('控制台'!B5,2))+1,1)-1-G471))</f>
        <v/>
      </c>
      <c r="K471">
        <f>IF(A471="","",IF(AND(AND('控制台'!B4&lt;&gt;"",'控制台'!B5&lt;&gt;"",'控制台'!B4='刷新信息'!B6,'控制台'!B5='刷新信息'!B8),A471='控制台'!B4,B471='控制台'!B5,OR(C471="应收",C471="应付"),COUNTIFS('往来余额'!A5:A6000,C471,'往来余额'!B5:B6000,D471)=1,E471&lt;&gt;"",COUNTIFS(A$5:A$504,A471,B$5:B$504,B471,C$5:C$504,C471,D$5:D$504,D471,E$5:E$504,E471)=1,ISNUMBER(F471),I471&gt;=0,ISNUMBER(H471),H471&gt;=0),"纳入","待核实"))</f>
        <v/>
      </c>
    </row>
    <row r="472">
      <c r="A472" s="13" t="n"/>
      <c r="B472" s="13" t="n"/>
      <c r="C472" s="13" t="n"/>
      <c r="D472" s="13" t="n"/>
      <c r="E472" s="13" t="n"/>
      <c r="F472" s="19" t="n"/>
      <c r="G472" s="19" t="n"/>
      <c r="H472" s="15" t="n"/>
      <c r="I472">
        <f>IF(OR(A472&lt;&gt; '控制台'!B4,B472&lt;&gt; '控制台'!B5,F472=""),"",DATE(VALUE(LEFT('控制台'!B5,4)),VALUE(RIGHT('控制台'!B5,2))+1,1)-1-F472)</f>
        <v/>
      </c>
      <c r="J472">
        <f>IF(OR(A472&lt;&gt; '控制台'!B4,B472&lt;&gt; '控制台'!B5,G472=""),"",MAX(0,DATE(VALUE(LEFT('控制台'!B5,4)),VALUE(RIGHT('控制台'!B5,2))+1,1)-1-G472))</f>
        <v/>
      </c>
      <c r="K472">
        <f>IF(A472="","",IF(AND(AND('控制台'!B4&lt;&gt;"",'控制台'!B5&lt;&gt;"",'控制台'!B4='刷新信息'!B6,'控制台'!B5='刷新信息'!B8),A472='控制台'!B4,B472='控制台'!B5,OR(C472="应收",C472="应付"),COUNTIFS('往来余额'!A5:A6000,C472,'往来余额'!B5:B6000,D472)=1,E472&lt;&gt;"",COUNTIFS(A$5:A$504,A472,B$5:B$504,B472,C$5:C$504,C472,D$5:D$504,D472,E$5:E$504,E472)=1,ISNUMBER(F472),I472&gt;=0,ISNUMBER(H472),H472&gt;=0),"纳入","待核实"))</f>
        <v/>
      </c>
    </row>
    <row r="473">
      <c r="A473" s="13" t="n"/>
      <c r="B473" s="13" t="n"/>
      <c r="C473" s="13" t="n"/>
      <c r="D473" s="13" t="n"/>
      <c r="E473" s="13" t="n"/>
      <c r="F473" s="19" t="n"/>
      <c r="G473" s="19" t="n"/>
      <c r="H473" s="15" t="n"/>
      <c r="I473">
        <f>IF(OR(A473&lt;&gt; '控制台'!B4,B473&lt;&gt; '控制台'!B5,F473=""),"",DATE(VALUE(LEFT('控制台'!B5,4)),VALUE(RIGHT('控制台'!B5,2))+1,1)-1-F473)</f>
        <v/>
      </c>
      <c r="J473">
        <f>IF(OR(A473&lt;&gt; '控制台'!B4,B473&lt;&gt; '控制台'!B5,G473=""),"",MAX(0,DATE(VALUE(LEFT('控制台'!B5,4)),VALUE(RIGHT('控制台'!B5,2))+1,1)-1-G473))</f>
        <v/>
      </c>
      <c r="K473">
        <f>IF(A473="","",IF(AND(AND('控制台'!B4&lt;&gt;"",'控制台'!B5&lt;&gt;"",'控制台'!B4='刷新信息'!B6,'控制台'!B5='刷新信息'!B8),A473='控制台'!B4,B473='控制台'!B5,OR(C473="应收",C473="应付"),COUNTIFS('往来余额'!A5:A6000,C473,'往来余额'!B5:B6000,D473)=1,E473&lt;&gt;"",COUNTIFS(A$5:A$504,A473,B$5:B$504,B473,C$5:C$504,C473,D$5:D$504,D473,E$5:E$504,E473)=1,ISNUMBER(F473),I473&gt;=0,ISNUMBER(H473),H473&gt;=0),"纳入","待核实"))</f>
        <v/>
      </c>
    </row>
    <row r="474">
      <c r="A474" s="13" t="n"/>
      <c r="B474" s="13" t="n"/>
      <c r="C474" s="13" t="n"/>
      <c r="D474" s="13" t="n"/>
      <c r="E474" s="13" t="n"/>
      <c r="F474" s="19" t="n"/>
      <c r="G474" s="19" t="n"/>
      <c r="H474" s="15" t="n"/>
      <c r="I474">
        <f>IF(OR(A474&lt;&gt; '控制台'!B4,B474&lt;&gt; '控制台'!B5,F474=""),"",DATE(VALUE(LEFT('控制台'!B5,4)),VALUE(RIGHT('控制台'!B5,2))+1,1)-1-F474)</f>
        <v/>
      </c>
      <c r="J474">
        <f>IF(OR(A474&lt;&gt; '控制台'!B4,B474&lt;&gt; '控制台'!B5,G474=""),"",MAX(0,DATE(VALUE(LEFT('控制台'!B5,4)),VALUE(RIGHT('控制台'!B5,2))+1,1)-1-G474))</f>
        <v/>
      </c>
      <c r="K474">
        <f>IF(A474="","",IF(AND(AND('控制台'!B4&lt;&gt;"",'控制台'!B5&lt;&gt;"",'控制台'!B4='刷新信息'!B6,'控制台'!B5='刷新信息'!B8),A474='控制台'!B4,B474='控制台'!B5,OR(C474="应收",C474="应付"),COUNTIFS('往来余额'!A5:A6000,C474,'往来余额'!B5:B6000,D474)=1,E474&lt;&gt;"",COUNTIFS(A$5:A$504,A474,B$5:B$504,B474,C$5:C$504,C474,D$5:D$504,D474,E$5:E$504,E474)=1,ISNUMBER(F474),I474&gt;=0,ISNUMBER(H474),H474&gt;=0),"纳入","待核实"))</f>
        <v/>
      </c>
    </row>
    <row r="475">
      <c r="A475" s="13" t="n"/>
      <c r="B475" s="13" t="n"/>
      <c r="C475" s="13" t="n"/>
      <c r="D475" s="13" t="n"/>
      <c r="E475" s="13" t="n"/>
      <c r="F475" s="19" t="n"/>
      <c r="G475" s="19" t="n"/>
      <c r="H475" s="15" t="n"/>
      <c r="I475">
        <f>IF(OR(A475&lt;&gt; '控制台'!B4,B475&lt;&gt; '控制台'!B5,F475=""),"",DATE(VALUE(LEFT('控制台'!B5,4)),VALUE(RIGHT('控制台'!B5,2))+1,1)-1-F475)</f>
        <v/>
      </c>
      <c r="J475">
        <f>IF(OR(A475&lt;&gt; '控制台'!B4,B475&lt;&gt; '控制台'!B5,G475=""),"",MAX(0,DATE(VALUE(LEFT('控制台'!B5,4)),VALUE(RIGHT('控制台'!B5,2))+1,1)-1-G475))</f>
        <v/>
      </c>
      <c r="K475">
        <f>IF(A475="","",IF(AND(AND('控制台'!B4&lt;&gt;"",'控制台'!B5&lt;&gt;"",'控制台'!B4='刷新信息'!B6,'控制台'!B5='刷新信息'!B8),A475='控制台'!B4,B475='控制台'!B5,OR(C475="应收",C475="应付"),COUNTIFS('往来余额'!A5:A6000,C475,'往来余额'!B5:B6000,D475)=1,E475&lt;&gt;"",COUNTIFS(A$5:A$504,A475,B$5:B$504,B475,C$5:C$504,C475,D$5:D$504,D475,E$5:E$504,E475)=1,ISNUMBER(F475),I475&gt;=0,ISNUMBER(H475),H475&gt;=0),"纳入","待核实"))</f>
        <v/>
      </c>
    </row>
    <row r="476">
      <c r="A476" s="13" t="n"/>
      <c r="B476" s="13" t="n"/>
      <c r="C476" s="13" t="n"/>
      <c r="D476" s="13" t="n"/>
      <c r="E476" s="13" t="n"/>
      <c r="F476" s="19" t="n"/>
      <c r="G476" s="19" t="n"/>
      <c r="H476" s="15" t="n"/>
      <c r="I476">
        <f>IF(OR(A476&lt;&gt; '控制台'!B4,B476&lt;&gt; '控制台'!B5,F476=""),"",DATE(VALUE(LEFT('控制台'!B5,4)),VALUE(RIGHT('控制台'!B5,2))+1,1)-1-F476)</f>
        <v/>
      </c>
      <c r="J476">
        <f>IF(OR(A476&lt;&gt; '控制台'!B4,B476&lt;&gt; '控制台'!B5,G476=""),"",MAX(0,DATE(VALUE(LEFT('控制台'!B5,4)),VALUE(RIGHT('控制台'!B5,2))+1,1)-1-G476))</f>
        <v/>
      </c>
      <c r="K476">
        <f>IF(A476="","",IF(AND(AND('控制台'!B4&lt;&gt;"",'控制台'!B5&lt;&gt;"",'控制台'!B4='刷新信息'!B6,'控制台'!B5='刷新信息'!B8),A476='控制台'!B4,B476='控制台'!B5,OR(C476="应收",C476="应付"),COUNTIFS('往来余额'!A5:A6000,C476,'往来余额'!B5:B6000,D476)=1,E476&lt;&gt;"",COUNTIFS(A$5:A$504,A476,B$5:B$504,B476,C$5:C$504,C476,D$5:D$504,D476,E$5:E$504,E476)=1,ISNUMBER(F476),I476&gt;=0,ISNUMBER(H476),H476&gt;=0),"纳入","待核实"))</f>
        <v/>
      </c>
    </row>
    <row r="477">
      <c r="A477" s="13" t="n"/>
      <c r="B477" s="13" t="n"/>
      <c r="C477" s="13" t="n"/>
      <c r="D477" s="13" t="n"/>
      <c r="E477" s="13" t="n"/>
      <c r="F477" s="19" t="n"/>
      <c r="G477" s="19" t="n"/>
      <c r="H477" s="15" t="n"/>
      <c r="I477">
        <f>IF(OR(A477&lt;&gt; '控制台'!B4,B477&lt;&gt; '控制台'!B5,F477=""),"",DATE(VALUE(LEFT('控制台'!B5,4)),VALUE(RIGHT('控制台'!B5,2))+1,1)-1-F477)</f>
        <v/>
      </c>
      <c r="J477">
        <f>IF(OR(A477&lt;&gt; '控制台'!B4,B477&lt;&gt; '控制台'!B5,G477=""),"",MAX(0,DATE(VALUE(LEFT('控制台'!B5,4)),VALUE(RIGHT('控制台'!B5,2))+1,1)-1-G477))</f>
        <v/>
      </c>
      <c r="K477">
        <f>IF(A477="","",IF(AND(AND('控制台'!B4&lt;&gt;"",'控制台'!B5&lt;&gt;"",'控制台'!B4='刷新信息'!B6,'控制台'!B5='刷新信息'!B8),A477='控制台'!B4,B477='控制台'!B5,OR(C477="应收",C477="应付"),COUNTIFS('往来余额'!A5:A6000,C477,'往来余额'!B5:B6000,D477)=1,E477&lt;&gt;"",COUNTIFS(A$5:A$504,A477,B$5:B$504,B477,C$5:C$504,C477,D$5:D$504,D477,E$5:E$504,E477)=1,ISNUMBER(F477),I477&gt;=0,ISNUMBER(H477),H477&gt;=0),"纳入","待核实"))</f>
        <v/>
      </c>
    </row>
    <row r="478">
      <c r="A478" s="13" t="n"/>
      <c r="B478" s="13" t="n"/>
      <c r="C478" s="13" t="n"/>
      <c r="D478" s="13" t="n"/>
      <c r="E478" s="13" t="n"/>
      <c r="F478" s="19" t="n"/>
      <c r="G478" s="19" t="n"/>
      <c r="H478" s="15" t="n"/>
      <c r="I478">
        <f>IF(OR(A478&lt;&gt; '控制台'!B4,B478&lt;&gt; '控制台'!B5,F478=""),"",DATE(VALUE(LEFT('控制台'!B5,4)),VALUE(RIGHT('控制台'!B5,2))+1,1)-1-F478)</f>
        <v/>
      </c>
      <c r="J478">
        <f>IF(OR(A478&lt;&gt; '控制台'!B4,B478&lt;&gt; '控制台'!B5,G478=""),"",MAX(0,DATE(VALUE(LEFT('控制台'!B5,4)),VALUE(RIGHT('控制台'!B5,2))+1,1)-1-G478))</f>
        <v/>
      </c>
      <c r="K478">
        <f>IF(A478="","",IF(AND(AND('控制台'!B4&lt;&gt;"",'控制台'!B5&lt;&gt;"",'控制台'!B4='刷新信息'!B6,'控制台'!B5='刷新信息'!B8),A478='控制台'!B4,B478='控制台'!B5,OR(C478="应收",C478="应付"),COUNTIFS('往来余额'!A5:A6000,C478,'往来余额'!B5:B6000,D478)=1,E478&lt;&gt;"",COUNTIFS(A$5:A$504,A478,B$5:B$504,B478,C$5:C$504,C478,D$5:D$504,D478,E$5:E$504,E478)=1,ISNUMBER(F478),I478&gt;=0,ISNUMBER(H478),H478&gt;=0),"纳入","待核实"))</f>
        <v/>
      </c>
    </row>
    <row r="479">
      <c r="A479" s="13" t="n"/>
      <c r="B479" s="13" t="n"/>
      <c r="C479" s="13" t="n"/>
      <c r="D479" s="13" t="n"/>
      <c r="E479" s="13" t="n"/>
      <c r="F479" s="19" t="n"/>
      <c r="G479" s="19" t="n"/>
      <c r="H479" s="15" t="n"/>
      <c r="I479">
        <f>IF(OR(A479&lt;&gt; '控制台'!B4,B479&lt;&gt; '控制台'!B5,F479=""),"",DATE(VALUE(LEFT('控制台'!B5,4)),VALUE(RIGHT('控制台'!B5,2))+1,1)-1-F479)</f>
        <v/>
      </c>
      <c r="J479">
        <f>IF(OR(A479&lt;&gt; '控制台'!B4,B479&lt;&gt; '控制台'!B5,G479=""),"",MAX(0,DATE(VALUE(LEFT('控制台'!B5,4)),VALUE(RIGHT('控制台'!B5,2))+1,1)-1-G479))</f>
        <v/>
      </c>
      <c r="K479">
        <f>IF(A479="","",IF(AND(AND('控制台'!B4&lt;&gt;"",'控制台'!B5&lt;&gt;"",'控制台'!B4='刷新信息'!B6,'控制台'!B5='刷新信息'!B8),A479='控制台'!B4,B479='控制台'!B5,OR(C479="应收",C479="应付"),COUNTIFS('往来余额'!A5:A6000,C479,'往来余额'!B5:B6000,D479)=1,E479&lt;&gt;"",COUNTIFS(A$5:A$504,A479,B$5:B$504,B479,C$5:C$504,C479,D$5:D$504,D479,E$5:E$504,E479)=1,ISNUMBER(F479),I479&gt;=0,ISNUMBER(H479),H479&gt;=0),"纳入","待核实"))</f>
        <v/>
      </c>
    </row>
    <row r="480">
      <c r="A480" s="13" t="n"/>
      <c r="B480" s="13" t="n"/>
      <c r="C480" s="13" t="n"/>
      <c r="D480" s="13" t="n"/>
      <c r="E480" s="13" t="n"/>
      <c r="F480" s="19" t="n"/>
      <c r="G480" s="19" t="n"/>
      <c r="H480" s="15" t="n"/>
      <c r="I480">
        <f>IF(OR(A480&lt;&gt; '控制台'!B4,B480&lt;&gt; '控制台'!B5,F480=""),"",DATE(VALUE(LEFT('控制台'!B5,4)),VALUE(RIGHT('控制台'!B5,2))+1,1)-1-F480)</f>
        <v/>
      </c>
      <c r="J480">
        <f>IF(OR(A480&lt;&gt; '控制台'!B4,B480&lt;&gt; '控制台'!B5,G480=""),"",MAX(0,DATE(VALUE(LEFT('控制台'!B5,4)),VALUE(RIGHT('控制台'!B5,2))+1,1)-1-G480))</f>
        <v/>
      </c>
      <c r="K480">
        <f>IF(A480="","",IF(AND(AND('控制台'!B4&lt;&gt;"",'控制台'!B5&lt;&gt;"",'控制台'!B4='刷新信息'!B6,'控制台'!B5='刷新信息'!B8),A480='控制台'!B4,B480='控制台'!B5,OR(C480="应收",C480="应付"),COUNTIFS('往来余额'!A5:A6000,C480,'往来余额'!B5:B6000,D480)=1,E480&lt;&gt;"",COUNTIFS(A$5:A$504,A480,B$5:B$504,B480,C$5:C$504,C480,D$5:D$504,D480,E$5:E$504,E480)=1,ISNUMBER(F480),I480&gt;=0,ISNUMBER(H480),H480&gt;=0),"纳入","待核实"))</f>
        <v/>
      </c>
    </row>
    <row r="481">
      <c r="A481" s="13" t="n"/>
      <c r="B481" s="13" t="n"/>
      <c r="C481" s="13" t="n"/>
      <c r="D481" s="13" t="n"/>
      <c r="E481" s="13" t="n"/>
      <c r="F481" s="19" t="n"/>
      <c r="G481" s="19" t="n"/>
      <c r="H481" s="15" t="n"/>
      <c r="I481">
        <f>IF(OR(A481&lt;&gt; '控制台'!B4,B481&lt;&gt; '控制台'!B5,F481=""),"",DATE(VALUE(LEFT('控制台'!B5,4)),VALUE(RIGHT('控制台'!B5,2))+1,1)-1-F481)</f>
        <v/>
      </c>
      <c r="J481">
        <f>IF(OR(A481&lt;&gt; '控制台'!B4,B481&lt;&gt; '控制台'!B5,G481=""),"",MAX(0,DATE(VALUE(LEFT('控制台'!B5,4)),VALUE(RIGHT('控制台'!B5,2))+1,1)-1-G481))</f>
        <v/>
      </c>
      <c r="K481">
        <f>IF(A481="","",IF(AND(AND('控制台'!B4&lt;&gt;"",'控制台'!B5&lt;&gt;"",'控制台'!B4='刷新信息'!B6,'控制台'!B5='刷新信息'!B8),A481='控制台'!B4,B481='控制台'!B5,OR(C481="应收",C481="应付"),COUNTIFS('往来余额'!A5:A6000,C481,'往来余额'!B5:B6000,D481)=1,E481&lt;&gt;"",COUNTIFS(A$5:A$504,A481,B$5:B$504,B481,C$5:C$504,C481,D$5:D$504,D481,E$5:E$504,E481)=1,ISNUMBER(F481),I481&gt;=0,ISNUMBER(H481),H481&gt;=0),"纳入","待核实"))</f>
        <v/>
      </c>
    </row>
    <row r="482">
      <c r="A482" s="13" t="n"/>
      <c r="B482" s="13" t="n"/>
      <c r="C482" s="13" t="n"/>
      <c r="D482" s="13" t="n"/>
      <c r="E482" s="13" t="n"/>
      <c r="F482" s="19" t="n"/>
      <c r="G482" s="19" t="n"/>
      <c r="H482" s="15" t="n"/>
      <c r="I482">
        <f>IF(OR(A482&lt;&gt; '控制台'!B4,B482&lt;&gt; '控制台'!B5,F482=""),"",DATE(VALUE(LEFT('控制台'!B5,4)),VALUE(RIGHT('控制台'!B5,2))+1,1)-1-F482)</f>
        <v/>
      </c>
      <c r="J482">
        <f>IF(OR(A482&lt;&gt; '控制台'!B4,B482&lt;&gt; '控制台'!B5,G482=""),"",MAX(0,DATE(VALUE(LEFT('控制台'!B5,4)),VALUE(RIGHT('控制台'!B5,2))+1,1)-1-G482))</f>
        <v/>
      </c>
      <c r="K482">
        <f>IF(A482="","",IF(AND(AND('控制台'!B4&lt;&gt;"",'控制台'!B5&lt;&gt;"",'控制台'!B4='刷新信息'!B6,'控制台'!B5='刷新信息'!B8),A482='控制台'!B4,B482='控制台'!B5,OR(C482="应收",C482="应付"),COUNTIFS('往来余额'!A5:A6000,C482,'往来余额'!B5:B6000,D482)=1,E482&lt;&gt;"",COUNTIFS(A$5:A$504,A482,B$5:B$504,B482,C$5:C$504,C482,D$5:D$504,D482,E$5:E$504,E482)=1,ISNUMBER(F482),I482&gt;=0,ISNUMBER(H482),H482&gt;=0),"纳入","待核实"))</f>
        <v/>
      </c>
    </row>
    <row r="483">
      <c r="A483" s="13" t="n"/>
      <c r="B483" s="13" t="n"/>
      <c r="C483" s="13" t="n"/>
      <c r="D483" s="13" t="n"/>
      <c r="E483" s="13" t="n"/>
      <c r="F483" s="19" t="n"/>
      <c r="G483" s="19" t="n"/>
      <c r="H483" s="15" t="n"/>
      <c r="I483">
        <f>IF(OR(A483&lt;&gt; '控制台'!B4,B483&lt;&gt; '控制台'!B5,F483=""),"",DATE(VALUE(LEFT('控制台'!B5,4)),VALUE(RIGHT('控制台'!B5,2))+1,1)-1-F483)</f>
        <v/>
      </c>
      <c r="J483">
        <f>IF(OR(A483&lt;&gt; '控制台'!B4,B483&lt;&gt; '控制台'!B5,G483=""),"",MAX(0,DATE(VALUE(LEFT('控制台'!B5,4)),VALUE(RIGHT('控制台'!B5,2))+1,1)-1-G483))</f>
        <v/>
      </c>
      <c r="K483">
        <f>IF(A483="","",IF(AND(AND('控制台'!B4&lt;&gt;"",'控制台'!B5&lt;&gt;"",'控制台'!B4='刷新信息'!B6,'控制台'!B5='刷新信息'!B8),A483='控制台'!B4,B483='控制台'!B5,OR(C483="应收",C483="应付"),COUNTIFS('往来余额'!A5:A6000,C483,'往来余额'!B5:B6000,D483)=1,E483&lt;&gt;"",COUNTIFS(A$5:A$504,A483,B$5:B$504,B483,C$5:C$504,C483,D$5:D$504,D483,E$5:E$504,E483)=1,ISNUMBER(F483),I483&gt;=0,ISNUMBER(H483),H483&gt;=0),"纳入","待核实"))</f>
        <v/>
      </c>
    </row>
    <row r="484">
      <c r="A484" s="13" t="n"/>
      <c r="B484" s="13" t="n"/>
      <c r="C484" s="13" t="n"/>
      <c r="D484" s="13" t="n"/>
      <c r="E484" s="13" t="n"/>
      <c r="F484" s="19" t="n"/>
      <c r="G484" s="19" t="n"/>
      <c r="H484" s="15" t="n"/>
      <c r="I484">
        <f>IF(OR(A484&lt;&gt; '控制台'!B4,B484&lt;&gt; '控制台'!B5,F484=""),"",DATE(VALUE(LEFT('控制台'!B5,4)),VALUE(RIGHT('控制台'!B5,2))+1,1)-1-F484)</f>
        <v/>
      </c>
      <c r="J484">
        <f>IF(OR(A484&lt;&gt; '控制台'!B4,B484&lt;&gt; '控制台'!B5,G484=""),"",MAX(0,DATE(VALUE(LEFT('控制台'!B5,4)),VALUE(RIGHT('控制台'!B5,2))+1,1)-1-G484))</f>
        <v/>
      </c>
      <c r="K484">
        <f>IF(A484="","",IF(AND(AND('控制台'!B4&lt;&gt;"",'控制台'!B5&lt;&gt;"",'控制台'!B4='刷新信息'!B6,'控制台'!B5='刷新信息'!B8),A484='控制台'!B4,B484='控制台'!B5,OR(C484="应收",C484="应付"),COUNTIFS('往来余额'!A5:A6000,C484,'往来余额'!B5:B6000,D484)=1,E484&lt;&gt;"",COUNTIFS(A$5:A$504,A484,B$5:B$504,B484,C$5:C$504,C484,D$5:D$504,D484,E$5:E$504,E484)=1,ISNUMBER(F484),I484&gt;=0,ISNUMBER(H484),H484&gt;=0),"纳入","待核实"))</f>
        <v/>
      </c>
    </row>
    <row r="485">
      <c r="A485" s="13" t="n"/>
      <c r="B485" s="13" t="n"/>
      <c r="C485" s="13" t="n"/>
      <c r="D485" s="13" t="n"/>
      <c r="E485" s="13" t="n"/>
      <c r="F485" s="19" t="n"/>
      <c r="G485" s="19" t="n"/>
      <c r="H485" s="15" t="n"/>
      <c r="I485">
        <f>IF(OR(A485&lt;&gt; '控制台'!B4,B485&lt;&gt; '控制台'!B5,F485=""),"",DATE(VALUE(LEFT('控制台'!B5,4)),VALUE(RIGHT('控制台'!B5,2))+1,1)-1-F485)</f>
        <v/>
      </c>
      <c r="J485">
        <f>IF(OR(A485&lt;&gt; '控制台'!B4,B485&lt;&gt; '控制台'!B5,G485=""),"",MAX(0,DATE(VALUE(LEFT('控制台'!B5,4)),VALUE(RIGHT('控制台'!B5,2))+1,1)-1-G485))</f>
        <v/>
      </c>
      <c r="K485">
        <f>IF(A485="","",IF(AND(AND('控制台'!B4&lt;&gt;"",'控制台'!B5&lt;&gt;"",'控制台'!B4='刷新信息'!B6,'控制台'!B5='刷新信息'!B8),A485='控制台'!B4,B485='控制台'!B5,OR(C485="应收",C485="应付"),COUNTIFS('往来余额'!A5:A6000,C485,'往来余额'!B5:B6000,D485)=1,E485&lt;&gt;"",COUNTIFS(A$5:A$504,A485,B$5:B$504,B485,C$5:C$504,C485,D$5:D$504,D485,E$5:E$504,E485)=1,ISNUMBER(F485),I485&gt;=0,ISNUMBER(H485),H485&gt;=0),"纳入","待核实"))</f>
        <v/>
      </c>
    </row>
    <row r="486">
      <c r="A486" s="13" t="n"/>
      <c r="B486" s="13" t="n"/>
      <c r="C486" s="13" t="n"/>
      <c r="D486" s="13" t="n"/>
      <c r="E486" s="13" t="n"/>
      <c r="F486" s="19" t="n"/>
      <c r="G486" s="19" t="n"/>
      <c r="H486" s="15" t="n"/>
      <c r="I486">
        <f>IF(OR(A486&lt;&gt; '控制台'!B4,B486&lt;&gt; '控制台'!B5,F486=""),"",DATE(VALUE(LEFT('控制台'!B5,4)),VALUE(RIGHT('控制台'!B5,2))+1,1)-1-F486)</f>
        <v/>
      </c>
      <c r="J486">
        <f>IF(OR(A486&lt;&gt; '控制台'!B4,B486&lt;&gt; '控制台'!B5,G486=""),"",MAX(0,DATE(VALUE(LEFT('控制台'!B5,4)),VALUE(RIGHT('控制台'!B5,2))+1,1)-1-G486))</f>
        <v/>
      </c>
      <c r="K486">
        <f>IF(A486="","",IF(AND(AND('控制台'!B4&lt;&gt;"",'控制台'!B5&lt;&gt;"",'控制台'!B4='刷新信息'!B6,'控制台'!B5='刷新信息'!B8),A486='控制台'!B4,B486='控制台'!B5,OR(C486="应收",C486="应付"),COUNTIFS('往来余额'!A5:A6000,C486,'往来余额'!B5:B6000,D486)=1,E486&lt;&gt;"",COUNTIFS(A$5:A$504,A486,B$5:B$504,B486,C$5:C$504,C486,D$5:D$504,D486,E$5:E$504,E486)=1,ISNUMBER(F486),I486&gt;=0,ISNUMBER(H486),H486&gt;=0),"纳入","待核实"))</f>
        <v/>
      </c>
    </row>
    <row r="487">
      <c r="A487" s="13" t="n"/>
      <c r="B487" s="13" t="n"/>
      <c r="C487" s="13" t="n"/>
      <c r="D487" s="13" t="n"/>
      <c r="E487" s="13" t="n"/>
      <c r="F487" s="19" t="n"/>
      <c r="G487" s="19" t="n"/>
      <c r="H487" s="15" t="n"/>
      <c r="I487">
        <f>IF(OR(A487&lt;&gt; '控制台'!B4,B487&lt;&gt; '控制台'!B5,F487=""),"",DATE(VALUE(LEFT('控制台'!B5,4)),VALUE(RIGHT('控制台'!B5,2))+1,1)-1-F487)</f>
        <v/>
      </c>
      <c r="J487">
        <f>IF(OR(A487&lt;&gt; '控制台'!B4,B487&lt;&gt; '控制台'!B5,G487=""),"",MAX(0,DATE(VALUE(LEFT('控制台'!B5,4)),VALUE(RIGHT('控制台'!B5,2))+1,1)-1-G487))</f>
        <v/>
      </c>
      <c r="K487">
        <f>IF(A487="","",IF(AND(AND('控制台'!B4&lt;&gt;"",'控制台'!B5&lt;&gt;"",'控制台'!B4='刷新信息'!B6,'控制台'!B5='刷新信息'!B8),A487='控制台'!B4,B487='控制台'!B5,OR(C487="应收",C487="应付"),COUNTIFS('往来余额'!A5:A6000,C487,'往来余额'!B5:B6000,D487)=1,E487&lt;&gt;"",COUNTIFS(A$5:A$504,A487,B$5:B$504,B487,C$5:C$504,C487,D$5:D$504,D487,E$5:E$504,E487)=1,ISNUMBER(F487),I487&gt;=0,ISNUMBER(H487),H487&gt;=0),"纳入","待核实"))</f>
        <v/>
      </c>
    </row>
    <row r="488">
      <c r="A488" s="13" t="n"/>
      <c r="B488" s="13" t="n"/>
      <c r="C488" s="13" t="n"/>
      <c r="D488" s="13" t="n"/>
      <c r="E488" s="13" t="n"/>
      <c r="F488" s="19" t="n"/>
      <c r="G488" s="19" t="n"/>
      <c r="H488" s="15" t="n"/>
      <c r="I488">
        <f>IF(OR(A488&lt;&gt; '控制台'!B4,B488&lt;&gt; '控制台'!B5,F488=""),"",DATE(VALUE(LEFT('控制台'!B5,4)),VALUE(RIGHT('控制台'!B5,2))+1,1)-1-F488)</f>
        <v/>
      </c>
      <c r="J488">
        <f>IF(OR(A488&lt;&gt; '控制台'!B4,B488&lt;&gt; '控制台'!B5,G488=""),"",MAX(0,DATE(VALUE(LEFT('控制台'!B5,4)),VALUE(RIGHT('控制台'!B5,2))+1,1)-1-G488))</f>
        <v/>
      </c>
      <c r="K488">
        <f>IF(A488="","",IF(AND(AND('控制台'!B4&lt;&gt;"",'控制台'!B5&lt;&gt;"",'控制台'!B4='刷新信息'!B6,'控制台'!B5='刷新信息'!B8),A488='控制台'!B4,B488='控制台'!B5,OR(C488="应收",C488="应付"),COUNTIFS('往来余额'!A5:A6000,C488,'往来余额'!B5:B6000,D488)=1,E488&lt;&gt;"",COUNTIFS(A$5:A$504,A488,B$5:B$504,B488,C$5:C$504,C488,D$5:D$504,D488,E$5:E$504,E488)=1,ISNUMBER(F488),I488&gt;=0,ISNUMBER(H488),H488&gt;=0),"纳入","待核实"))</f>
        <v/>
      </c>
    </row>
    <row r="489">
      <c r="A489" s="13" t="n"/>
      <c r="B489" s="13" t="n"/>
      <c r="C489" s="13" t="n"/>
      <c r="D489" s="13" t="n"/>
      <c r="E489" s="13" t="n"/>
      <c r="F489" s="19" t="n"/>
      <c r="G489" s="19" t="n"/>
      <c r="H489" s="15" t="n"/>
      <c r="I489">
        <f>IF(OR(A489&lt;&gt; '控制台'!B4,B489&lt;&gt; '控制台'!B5,F489=""),"",DATE(VALUE(LEFT('控制台'!B5,4)),VALUE(RIGHT('控制台'!B5,2))+1,1)-1-F489)</f>
        <v/>
      </c>
      <c r="J489">
        <f>IF(OR(A489&lt;&gt; '控制台'!B4,B489&lt;&gt; '控制台'!B5,G489=""),"",MAX(0,DATE(VALUE(LEFT('控制台'!B5,4)),VALUE(RIGHT('控制台'!B5,2))+1,1)-1-G489))</f>
        <v/>
      </c>
      <c r="K489">
        <f>IF(A489="","",IF(AND(AND('控制台'!B4&lt;&gt;"",'控制台'!B5&lt;&gt;"",'控制台'!B4='刷新信息'!B6,'控制台'!B5='刷新信息'!B8),A489='控制台'!B4,B489='控制台'!B5,OR(C489="应收",C489="应付"),COUNTIFS('往来余额'!A5:A6000,C489,'往来余额'!B5:B6000,D489)=1,E489&lt;&gt;"",COUNTIFS(A$5:A$504,A489,B$5:B$504,B489,C$5:C$504,C489,D$5:D$504,D489,E$5:E$504,E489)=1,ISNUMBER(F489),I489&gt;=0,ISNUMBER(H489),H489&gt;=0),"纳入","待核实"))</f>
        <v/>
      </c>
    </row>
    <row r="490">
      <c r="A490" s="13" t="n"/>
      <c r="B490" s="13" t="n"/>
      <c r="C490" s="13" t="n"/>
      <c r="D490" s="13" t="n"/>
      <c r="E490" s="13" t="n"/>
      <c r="F490" s="19" t="n"/>
      <c r="G490" s="19" t="n"/>
      <c r="H490" s="15" t="n"/>
      <c r="I490">
        <f>IF(OR(A490&lt;&gt; '控制台'!B4,B490&lt;&gt; '控制台'!B5,F490=""),"",DATE(VALUE(LEFT('控制台'!B5,4)),VALUE(RIGHT('控制台'!B5,2))+1,1)-1-F490)</f>
        <v/>
      </c>
      <c r="J490">
        <f>IF(OR(A490&lt;&gt; '控制台'!B4,B490&lt;&gt; '控制台'!B5,G490=""),"",MAX(0,DATE(VALUE(LEFT('控制台'!B5,4)),VALUE(RIGHT('控制台'!B5,2))+1,1)-1-G490))</f>
        <v/>
      </c>
      <c r="K490">
        <f>IF(A490="","",IF(AND(AND('控制台'!B4&lt;&gt;"",'控制台'!B5&lt;&gt;"",'控制台'!B4='刷新信息'!B6,'控制台'!B5='刷新信息'!B8),A490='控制台'!B4,B490='控制台'!B5,OR(C490="应收",C490="应付"),COUNTIFS('往来余额'!A5:A6000,C490,'往来余额'!B5:B6000,D490)=1,E490&lt;&gt;"",COUNTIFS(A$5:A$504,A490,B$5:B$504,B490,C$5:C$504,C490,D$5:D$504,D490,E$5:E$504,E490)=1,ISNUMBER(F490),I490&gt;=0,ISNUMBER(H490),H490&gt;=0),"纳入","待核实"))</f>
        <v/>
      </c>
    </row>
    <row r="491">
      <c r="A491" s="13" t="n"/>
      <c r="B491" s="13" t="n"/>
      <c r="C491" s="13" t="n"/>
      <c r="D491" s="13" t="n"/>
      <c r="E491" s="13" t="n"/>
      <c r="F491" s="19" t="n"/>
      <c r="G491" s="19" t="n"/>
      <c r="H491" s="15" t="n"/>
      <c r="I491">
        <f>IF(OR(A491&lt;&gt; '控制台'!B4,B491&lt;&gt; '控制台'!B5,F491=""),"",DATE(VALUE(LEFT('控制台'!B5,4)),VALUE(RIGHT('控制台'!B5,2))+1,1)-1-F491)</f>
        <v/>
      </c>
      <c r="J491">
        <f>IF(OR(A491&lt;&gt; '控制台'!B4,B491&lt;&gt; '控制台'!B5,G491=""),"",MAX(0,DATE(VALUE(LEFT('控制台'!B5,4)),VALUE(RIGHT('控制台'!B5,2))+1,1)-1-G491))</f>
        <v/>
      </c>
      <c r="K491">
        <f>IF(A491="","",IF(AND(AND('控制台'!B4&lt;&gt;"",'控制台'!B5&lt;&gt;"",'控制台'!B4='刷新信息'!B6,'控制台'!B5='刷新信息'!B8),A491='控制台'!B4,B491='控制台'!B5,OR(C491="应收",C491="应付"),COUNTIFS('往来余额'!A5:A6000,C491,'往来余额'!B5:B6000,D491)=1,E491&lt;&gt;"",COUNTIFS(A$5:A$504,A491,B$5:B$504,B491,C$5:C$504,C491,D$5:D$504,D491,E$5:E$504,E491)=1,ISNUMBER(F491),I491&gt;=0,ISNUMBER(H491),H491&gt;=0),"纳入","待核实"))</f>
        <v/>
      </c>
    </row>
    <row r="492">
      <c r="A492" s="13" t="n"/>
      <c r="B492" s="13" t="n"/>
      <c r="C492" s="13" t="n"/>
      <c r="D492" s="13" t="n"/>
      <c r="E492" s="13" t="n"/>
      <c r="F492" s="19" t="n"/>
      <c r="G492" s="19" t="n"/>
      <c r="H492" s="15" t="n"/>
      <c r="I492">
        <f>IF(OR(A492&lt;&gt; '控制台'!B4,B492&lt;&gt; '控制台'!B5,F492=""),"",DATE(VALUE(LEFT('控制台'!B5,4)),VALUE(RIGHT('控制台'!B5,2))+1,1)-1-F492)</f>
        <v/>
      </c>
      <c r="J492">
        <f>IF(OR(A492&lt;&gt; '控制台'!B4,B492&lt;&gt; '控制台'!B5,G492=""),"",MAX(0,DATE(VALUE(LEFT('控制台'!B5,4)),VALUE(RIGHT('控制台'!B5,2))+1,1)-1-G492))</f>
        <v/>
      </c>
      <c r="K492">
        <f>IF(A492="","",IF(AND(AND('控制台'!B4&lt;&gt;"",'控制台'!B5&lt;&gt;"",'控制台'!B4='刷新信息'!B6,'控制台'!B5='刷新信息'!B8),A492='控制台'!B4,B492='控制台'!B5,OR(C492="应收",C492="应付"),COUNTIFS('往来余额'!A5:A6000,C492,'往来余额'!B5:B6000,D492)=1,E492&lt;&gt;"",COUNTIFS(A$5:A$504,A492,B$5:B$504,B492,C$5:C$504,C492,D$5:D$504,D492,E$5:E$504,E492)=1,ISNUMBER(F492),I492&gt;=0,ISNUMBER(H492),H492&gt;=0),"纳入","待核实"))</f>
        <v/>
      </c>
    </row>
    <row r="493">
      <c r="A493" s="13" t="n"/>
      <c r="B493" s="13" t="n"/>
      <c r="C493" s="13" t="n"/>
      <c r="D493" s="13" t="n"/>
      <c r="E493" s="13" t="n"/>
      <c r="F493" s="19" t="n"/>
      <c r="G493" s="19" t="n"/>
      <c r="H493" s="15" t="n"/>
      <c r="I493">
        <f>IF(OR(A493&lt;&gt; '控制台'!B4,B493&lt;&gt; '控制台'!B5,F493=""),"",DATE(VALUE(LEFT('控制台'!B5,4)),VALUE(RIGHT('控制台'!B5,2))+1,1)-1-F493)</f>
        <v/>
      </c>
      <c r="J493">
        <f>IF(OR(A493&lt;&gt; '控制台'!B4,B493&lt;&gt; '控制台'!B5,G493=""),"",MAX(0,DATE(VALUE(LEFT('控制台'!B5,4)),VALUE(RIGHT('控制台'!B5,2))+1,1)-1-G493))</f>
        <v/>
      </c>
      <c r="K493">
        <f>IF(A493="","",IF(AND(AND('控制台'!B4&lt;&gt;"",'控制台'!B5&lt;&gt;"",'控制台'!B4='刷新信息'!B6,'控制台'!B5='刷新信息'!B8),A493='控制台'!B4,B493='控制台'!B5,OR(C493="应收",C493="应付"),COUNTIFS('往来余额'!A5:A6000,C493,'往来余额'!B5:B6000,D493)=1,E493&lt;&gt;"",COUNTIFS(A$5:A$504,A493,B$5:B$504,B493,C$5:C$504,C493,D$5:D$504,D493,E$5:E$504,E493)=1,ISNUMBER(F493),I493&gt;=0,ISNUMBER(H493),H493&gt;=0),"纳入","待核实"))</f>
        <v/>
      </c>
    </row>
    <row r="494">
      <c r="A494" s="13" t="n"/>
      <c r="B494" s="13" t="n"/>
      <c r="C494" s="13" t="n"/>
      <c r="D494" s="13" t="n"/>
      <c r="E494" s="13" t="n"/>
      <c r="F494" s="19" t="n"/>
      <c r="G494" s="19" t="n"/>
      <c r="H494" s="15" t="n"/>
      <c r="I494">
        <f>IF(OR(A494&lt;&gt; '控制台'!B4,B494&lt;&gt; '控制台'!B5,F494=""),"",DATE(VALUE(LEFT('控制台'!B5,4)),VALUE(RIGHT('控制台'!B5,2))+1,1)-1-F494)</f>
        <v/>
      </c>
      <c r="J494">
        <f>IF(OR(A494&lt;&gt; '控制台'!B4,B494&lt;&gt; '控制台'!B5,G494=""),"",MAX(0,DATE(VALUE(LEFT('控制台'!B5,4)),VALUE(RIGHT('控制台'!B5,2))+1,1)-1-G494))</f>
        <v/>
      </c>
      <c r="K494">
        <f>IF(A494="","",IF(AND(AND('控制台'!B4&lt;&gt;"",'控制台'!B5&lt;&gt;"",'控制台'!B4='刷新信息'!B6,'控制台'!B5='刷新信息'!B8),A494='控制台'!B4,B494='控制台'!B5,OR(C494="应收",C494="应付"),COUNTIFS('往来余额'!A5:A6000,C494,'往来余额'!B5:B6000,D494)=1,E494&lt;&gt;"",COUNTIFS(A$5:A$504,A494,B$5:B$504,B494,C$5:C$504,C494,D$5:D$504,D494,E$5:E$504,E494)=1,ISNUMBER(F494),I494&gt;=0,ISNUMBER(H494),H494&gt;=0),"纳入","待核实"))</f>
        <v/>
      </c>
    </row>
    <row r="495">
      <c r="A495" s="13" t="n"/>
      <c r="B495" s="13" t="n"/>
      <c r="C495" s="13" t="n"/>
      <c r="D495" s="13" t="n"/>
      <c r="E495" s="13" t="n"/>
      <c r="F495" s="19" t="n"/>
      <c r="G495" s="19" t="n"/>
      <c r="H495" s="15" t="n"/>
      <c r="I495">
        <f>IF(OR(A495&lt;&gt; '控制台'!B4,B495&lt;&gt; '控制台'!B5,F495=""),"",DATE(VALUE(LEFT('控制台'!B5,4)),VALUE(RIGHT('控制台'!B5,2))+1,1)-1-F495)</f>
        <v/>
      </c>
      <c r="J495">
        <f>IF(OR(A495&lt;&gt; '控制台'!B4,B495&lt;&gt; '控制台'!B5,G495=""),"",MAX(0,DATE(VALUE(LEFT('控制台'!B5,4)),VALUE(RIGHT('控制台'!B5,2))+1,1)-1-G495))</f>
        <v/>
      </c>
      <c r="K495">
        <f>IF(A495="","",IF(AND(AND('控制台'!B4&lt;&gt;"",'控制台'!B5&lt;&gt;"",'控制台'!B4='刷新信息'!B6,'控制台'!B5='刷新信息'!B8),A495='控制台'!B4,B495='控制台'!B5,OR(C495="应收",C495="应付"),COUNTIFS('往来余额'!A5:A6000,C495,'往来余额'!B5:B6000,D495)=1,E495&lt;&gt;"",COUNTIFS(A$5:A$504,A495,B$5:B$504,B495,C$5:C$504,C495,D$5:D$504,D495,E$5:E$504,E495)=1,ISNUMBER(F495),I495&gt;=0,ISNUMBER(H495),H495&gt;=0),"纳入","待核实"))</f>
        <v/>
      </c>
    </row>
    <row r="496">
      <c r="A496" s="13" t="n"/>
      <c r="B496" s="13" t="n"/>
      <c r="C496" s="13" t="n"/>
      <c r="D496" s="13" t="n"/>
      <c r="E496" s="13" t="n"/>
      <c r="F496" s="19" t="n"/>
      <c r="G496" s="19" t="n"/>
      <c r="H496" s="15" t="n"/>
      <c r="I496">
        <f>IF(OR(A496&lt;&gt; '控制台'!B4,B496&lt;&gt; '控制台'!B5,F496=""),"",DATE(VALUE(LEFT('控制台'!B5,4)),VALUE(RIGHT('控制台'!B5,2))+1,1)-1-F496)</f>
        <v/>
      </c>
      <c r="J496">
        <f>IF(OR(A496&lt;&gt; '控制台'!B4,B496&lt;&gt; '控制台'!B5,G496=""),"",MAX(0,DATE(VALUE(LEFT('控制台'!B5,4)),VALUE(RIGHT('控制台'!B5,2))+1,1)-1-G496))</f>
        <v/>
      </c>
      <c r="K496">
        <f>IF(A496="","",IF(AND(AND('控制台'!B4&lt;&gt;"",'控制台'!B5&lt;&gt;"",'控制台'!B4='刷新信息'!B6,'控制台'!B5='刷新信息'!B8),A496='控制台'!B4,B496='控制台'!B5,OR(C496="应收",C496="应付"),COUNTIFS('往来余额'!A5:A6000,C496,'往来余额'!B5:B6000,D496)=1,E496&lt;&gt;"",COUNTIFS(A$5:A$504,A496,B$5:B$504,B496,C$5:C$504,C496,D$5:D$504,D496,E$5:E$504,E496)=1,ISNUMBER(F496),I496&gt;=0,ISNUMBER(H496),H496&gt;=0),"纳入","待核实"))</f>
        <v/>
      </c>
    </row>
    <row r="497">
      <c r="A497" s="13" t="n"/>
      <c r="B497" s="13" t="n"/>
      <c r="C497" s="13" t="n"/>
      <c r="D497" s="13" t="n"/>
      <c r="E497" s="13" t="n"/>
      <c r="F497" s="19" t="n"/>
      <c r="G497" s="19" t="n"/>
      <c r="H497" s="15" t="n"/>
      <c r="I497">
        <f>IF(OR(A497&lt;&gt; '控制台'!B4,B497&lt;&gt; '控制台'!B5,F497=""),"",DATE(VALUE(LEFT('控制台'!B5,4)),VALUE(RIGHT('控制台'!B5,2))+1,1)-1-F497)</f>
        <v/>
      </c>
      <c r="J497">
        <f>IF(OR(A497&lt;&gt; '控制台'!B4,B497&lt;&gt; '控制台'!B5,G497=""),"",MAX(0,DATE(VALUE(LEFT('控制台'!B5,4)),VALUE(RIGHT('控制台'!B5,2))+1,1)-1-G497))</f>
        <v/>
      </c>
      <c r="K497">
        <f>IF(A497="","",IF(AND(AND('控制台'!B4&lt;&gt;"",'控制台'!B5&lt;&gt;"",'控制台'!B4='刷新信息'!B6,'控制台'!B5='刷新信息'!B8),A497='控制台'!B4,B497='控制台'!B5,OR(C497="应收",C497="应付"),COUNTIFS('往来余额'!A5:A6000,C497,'往来余额'!B5:B6000,D497)=1,E497&lt;&gt;"",COUNTIFS(A$5:A$504,A497,B$5:B$504,B497,C$5:C$504,C497,D$5:D$504,D497,E$5:E$504,E497)=1,ISNUMBER(F497),I497&gt;=0,ISNUMBER(H497),H497&gt;=0),"纳入","待核实"))</f>
        <v/>
      </c>
    </row>
    <row r="498">
      <c r="A498" s="13" t="n"/>
      <c r="B498" s="13" t="n"/>
      <c r="C498" s="13" t="n"/>
      <c r="D498" s="13" t="n"/>
      <c r="E498" s="13" t="n"/>
      <c r="F498" s="19" t="n"/>
      <c r="G498" s="19" t="n"/>
      <c r="H498" s="15" t="n"/>
      <c r="I498">
        <f>IF(OR(A498&lt;&gt; '控制台'!B4,B498&lt;&gt; '控制台'!B5,F498=""),"",DATE(VALUE(LEFT('控制台'!B5,4)),VALUE(RIGHT('控制台'!B5,2))+1,1)-1-F498)</f>
        <v/>
      </c>
      <c r="J498">
        <f>IF(OR(A498&lt;&gt; '控制台'!B4,B498&lt;&gt; '控制台'!B5,G498=""),"",MAX(0,DATE(VALUE(LEFT('控制台'!B5,4)),VALUE(RIGHT('控制台'!B5,2))+1,1)-1-G498))</f>
        <v/>
      </c>
      <c r="K498">
        <f>IF(A498="","",IF(AND(AND('控制台'!B4&lt;&gt;"",'控制台'!B5&lt;&gt;"",'控制台'!B4='刷新信息'!B6,'控制台'!B5='刷新信息'!B8),A498='控制台'!B4,B498='控制台'!B5,OR(C498="应收",C498="应付"),COUNTIFS('往来余额'!A5:A6000,C498,'往来余额'!B5:B6000,D498)=1,E498&lt;&gt;"",COUNTIFS(A$5:A$504,A498,B$5:B$504,B498,C$5:C$504,C498,D$5:D$504,D498,E$5:E$504,E498)=1,ISNUMBER(F498),I498&gt;=0,ISNUMBER(H498),H498&gt;=0),"纳入","待核实"))</f>
        <v/>
      </c>
    </row>
    <row r="499">
      <c r="A499" s="13" t="n"/>
      <c r="B499" s="13" t="n"/>
      <c r="C499" s="13" t="n"/>
      <c r="D499" s="13" t="n"/>
      <c r="E499" s="13" t="n"/>
      <c r="F499" s="19" t="n"/>
      <c r="G499" s="19" t="n"/>
      <c r="H499" s="15" t="n"/>
      <c r="I499">
        <f>IF(OR(A499&lt;&gt; '控制台'!B4,B499&lt;&gt; '控制台'!B5,F499=""),"",DATE(VALUE(LEFT('控制台'!B5,4)),VALUE(RIGHT('控制台'!B5,2))+1,1)-1-F499)</f>
        <v/>
      </c>
      <c r="J499">
        <f>IF(OR(A499&lt;&gt; '控制台'!B4,B499&lt;&gt; '控制台'!B5,G499=""),"",MAX(0,DATE(VALUE(LEFT('控制台'!B5,4)),VALUE(RIGHT('控制台'!B5,2))+1,1)-1-G499))</f>
        <v/>
      </c>
      <c r="K499">
        <f>IF(A499="","",IF(AND(AND('控制台'!B4&lt;&gt;"",'控制台'!B5&lt;&gt;"",'控制台'!B4='刷新信息'!B6,'控制台'!B5='刷新信息'!B8),A499='控制台'!B4,B499='控制台'!B5,OR(C499="应收",C499="应付"),COUNTIFS('往来余额'!A5:A6000,C499,'往来余额'!B5:B6000,D499)=1,E499&lt;&gt;"",COUNTIFS(A$5:A$504,A499,B$5:B$504,B499,C$5:C$504,C499,D$5:D$504,D499,E$5:E$504,E499)=1,ISNUMBER(F499),I499&gt;=0,ISNUMBER(H499),H499&gt;=0),"纳入","待核实"))</f>
        <v/>
      </c>
    </row>
    <row r="500">
      <c r="A500" s="13" t="n"/>
      <c r="B500" s="13" t="n"/>
      <c r="C500" s="13" t="n"/>
      <c r="D500" s="13" t="n"/>
      <c r="E500" s="13" t="n"/>
      <c r="F500" s="19" t="n"/>
      <c r="G500" s="19" t="n"/>
      <c r="H500" s="15" t="n"/>
      <c r="I500">
        <f>IF(OR(A500&lt;&gt; '控制台'!B4,B500&lt;&gt; '控制台'!B5,F500=""),"",DATE(VALUE(LEFT('控制台'!B5,4)),VALUE(RIGHT('控制台'!B5,2))+1,1)-1-F500)</f>
        <v/>
      </c>
      <c r="J500">
        <f>IF(OR(A500&lt;&gt; '控制台'!B4,B500&lt;&gt; '控制台'!B5,G500=""),"",MAX(0,DATE(VALUE(LEFT('控制台'!B5,4)),VALUE(RIGHT('控制台'!B5,2))+1,1)-1-G500))</f>
        <v/>
      </c>
      <c r="K500">
        <f>IF(A500="","",IF(AND(AND('控制台'!B4&lt;&gt;"",'控制台'!B5&lt;&gt;"",'控制台'!B4='刷新信息'!B6,'控制台'!B5='刷新信息'!B8),A500='控制台'!B4,B500='控制台'!B5,OR(C500="应收",C500="应付"),COUNTIFS('往来余额'!A5:A6000,C500,'往来余额'!B5:B6000,D500)=1,E500&lt;&gt;"",COUNTIFS(A$5:A$504,A500,B$5:B$504,B500,C$5:C$504,C500,D$5:D$504,D500,E$5:E$504,E500)=1,ISNUMBER(F500),I500&gt;=0,ISNUMBER(H500),H500&gt;=0),"纳入","待核实"))</f>
        <v/>
      </c>
    </row>
    <row r="501">
      <c r="A501" s="13" t="n"/>
      <c r="B501" s="13" t="n"/>
      <c r="C501" s="13" t="n"/>
      <c r="D501" s="13" t="n"/>
      <c r="E501" s="13" t="n"/>
      <c r="F501" s="19" t="n"/>
      <c r="G501" s="19" t="n"/>
      <c r="H501" s="15" t="n"/>
      <c r="I501">
        <f>IF(OR(A501&lt;&gt; '控制台'!B4,B501&lt;&gt; '控制台'!B5,F501=""),"",DATE(VALUE(LEFT('控制台'!B5,4)),VALUE(RIGHT('控制台'!B5,2))+1,1)-1-F501)</f>
        <v/>
      </c>
      <c r="J501">
        <f>IF(OR(A501&lt;&gt; '控制台'!B4,B501&lt;&gt; '控制台'!B5,G501=""),"",MAX(0,DATE(VALUE(LEFT('控制台'!B5,4)),VALUE(RIGHT('控制台'!B5,2))+1,1)-1-G501))</f>
        <v/>
      </c>
      <c r="K501">
        <f>IF(A501="","",IF(AND(AND('控制台'!B4&lt;&gt;"",'控制台'!B5&lt;&gt;"",'控制台'!B4='刷新信息'!B6,'控制台'!B5='刷新信息'!B8),A501='控制台'!B4,B501='控制台'!B5,OR(C501="应收",C501="应付"),COUNTIFS('往来余额'!A5:A6000,C501,'往来余额'!B5:B6000,D501)=1,E501&lt;&gt;"",COUNTIFS(A$5:A$504,A501,B$5:B$504,B501,C$5:C$504,C501,D$5:D$504,D501,E$5:E$504,E501)=1,ISNUMBER(F501),I501&gt;=0,ISNUMBER(H501),H501&gt;=0),"纳入","待核实"))</f>
        <v/>
      </c>
    </row>
    <row r="502">
      <c r="A502" s="13" t="n"/>
      <c r="B502" s="13" t="n"/>
      <c r="C502" s="13" t="n"/>
      <c r="D502" s="13" t="n"/>
      <c r="E502" s="13" t="n"/>
      <c r="F502" s="19" t="n"/>
      <c r="G502" s="19" t="n"/>
      <c r="H502" s="15" t="n"/>
      <c r="I502">
        <f>IF(OR(A502&lt;&gt; '控制台'!B4,B502&lt;&gt; '控制台'!B5,F502=""),"",DATE(VALUE(LEFT('控制台'!B5,4)),VALUE(RIGHT('控制台'!B5,2))+1,1)-1-F502)</f>
        <v/>
      </c>
      <c r="J502">
        <f>IF(OR(A502&lt;&gt; '控制台'!B4,B502&lt;&gt; '控制台'!B5,G502=""),"",MAX(0,DATE(VALUE(LEFT('控制台'!B5,4)),VALUE(RIGHT('控制台'!B5,2))+1,1)-1-G502))</f>
        <v/>
      </c>
      <c r="K502">
        <f>IF(A502="","",IF(AND(AND('控制台'!B4&lt;&gt;"",'控制台'!B5&lt;&gt;"",'控制台'!B4='刷新信息'!B6,'控制台'!B5='刷新信息'!B8),A502='控制台'!B4,B502='控制台'!B5,OR(C502="应收",C502="应付"),COUNTIFS('往来余额'!A5:A6000,C502,'往来余额'!B5:B6000,D502)=1,E502&lt;&gt;"",COUNTIFS(A$5:A$504,A502,B$5:B$504,B502,C$5:C$504,C502,D$5:D$504,D502,E$5:E$504,E502)=1,ISNUMBER(F502),I502&gt;=0,ISNUMBER(H502),H502&gt;=0),"纳入","待核实"))</f>
        <v/>
      </c>
    </row>
    <row r="503">
      <c r="A503" s="13" t="n"/>
      <c r="B503" s="13" t="n"/>
      <c r="C503" s="13" t="n"/>
      <c r="D503" s="13" t="n"/>
      <c r="E503" s="13" t="n"/>
      <c r="F503" s="19" t="n"/>
      <c r="G503" s="19" t="n"/>
      <c r="H503" s="15" t="n"/>
      <c r="I503">
        <f>IF(OR(A503&lt;&gt; '控制台'!B4,B503&lt;&gt; '控制台'!B5,F503=""),"",DATE(VALUE(LEFT('控制台'!B5,4)),VALUE(RIGHT('控制台'!B5,2))+1,1)-1-F503)</f>
        <v/>
      </c>
      <c r="J503">
        <f>IF(OR(A503&lt;&gt; '控制台'!B4,B503&lt;&gt; '控制台'!B5,G503=""),"",MAX(0,DATE(VALUE(LEFT('控制台'!B5,4)),VALUE(RIGHT('控制台'!B5,2))+1,1)-1-G503))</f>
        <v/>
      </c>
      <c r="K503">
        <f>IF(A503="","",IF(AND(AND('控制台'!B4&lt;&gt;"",'控制台'!B5&lt;&gt;"",'控制台'!B4='刷新信息'!B6,'控制台'!B5='刷新信息'!B8),A503='控制台'!B4,B503='控制台'!B5,OR(C503="应收",C503="应付"),COUNTIFS('往来余额'!A5:A6000,C503,'往来余额'!B5:B6000,D503)=1,E503&lt;&gt;"",COUNTIFS(A$5:A$504,A503,B$5:B$504,B503,C$5:C$504,C503,D$5:D$504,D503,E$5:E$504,E503)=1,ISNUMBER(F503),I503&gt;=0,ISNUMBER(H503),H503&gt;=0),"纳入","待核实"))</f>
        <v/>
      </c>
    </row>
    <row r="504">
      <c r="A504" s="13" t="n"/>
      <c r="B504" s="13" t="n"/>
      <c r="C504" s="13" t="n"/>
      <c r="D504" s="13" t="n"/>
      <c r="E504" s="13" t="n"/>
      <c r="F504" s="19" t="n"/>
      <c r="G504" s="19" t="n"/>
      <c r="H504" s="15" t="n"/>
      <c r="I504">
        <f>IF(OR(A504&lt;&gt; '控制台'!B4,B504&lt;&gt; '控制台'!B5,F504=""),"",DATE(VALUE(LEFT('控制台'!B5,4)),VALUE(RIGHT('控制台'!B5,2))+1,1)-1-F504)</f>
        <v/>
      </c>
      <c r="J504">
        <f>IF(OR(A504&lt;&gt; '控制台'!B4,B504&lt;&gt; '控制台'!B5,G504=""),"",MAX(0,DATE(VALUE(LEFT('控制台'!B5,4)),VALUE(RIGHT('控制台'!B5,2))+1,1)-1-G504))</f>
        <v/>
      </c>
      <c r="K504">
        <f>IF(A504="","",IF(AND(AND('控制台'!B4&lt;&gt;"",'控制台'!B5&lt;&gt;"",'控制台'!B4='刷新信息'!B6,'控制台'!B5='刷新信息'!B8),A504='控制台'!B4,B504='控制台'!B5,OR(C504="应收",C504="应付"),COUNTIFS('往来余额'!A5:A6000,C504,'往来余额'!B5:B6000,D504)=1,E504&lt;&gt;"",COUNTIFS(A$5:A$504,A504,B$5:B$504,B504,C$5:C$504,C504,D$5:D$504,D504,E$5:E$504,E504)=1,ISNUMBER(F504),I504&gt;=0,ISNUMBER(H504),H504&gt;=0),"纳入","待核实"))</f>
        <v/>
      </c>
    </row>
  </sheetData>
  <dataValidations count="1">
    <dataValidation sqref="C5:C504" showDropDown="0" showInputMessage="0" showErrorMessage="1" allowBlank="1" type="list">
      <formula1>"应收,应付"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账龄统计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按发生日计算账龄；逾期按到期日计算。未分配金额不推断账龄。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类型</t>
        </is>
      </c>
      <c r="B4" s="5" t="inlineStr">
        <is>
          <t>往来净余额</t>
        </is>
      </c>
      <c r="C4" s="5" t="inlineStr">
        <is>
          <t>已分配单据</t>
        </is>
      </c>
      <c r="D4" s="5" t="inlineStr">
        <is>
          <t>未分配净额</t>
        </is>
      </c>
      <c r="E4" s="5" t="inlineStr">
        <is>
          <t>0–30天</t>
        </is>
      </c>
      <c r="F4" s="5" t="inlineStr">
        <is>
          <t>31–60天</t>
        </is>
      </c>
      <c r="G4" s="5" t="inlineStr">
        <is>
          <t>61–90天</t>
        </is>
      </c>
      <c r="H4" s="5" t="inlineStr">
        <is>
          <t>91–180天</t>
        </is>
      </c>
      <c r="I4" s="5" t="inlineStr">
        <is>
          <t>181–365天</t>
        </is>
      </c>
      <c r="J4" s="5" t="inlineStr">
        <is>
          <t>365天以上</t>
        </is>
      </c>
      <c r="K4" s="5" t="inlineStr">
        <is>
          <t>逾期金额</t>
        </is>
      </c>
      <c r="L4" s="2" t="n"/>
      <c r="M4" s="2" t="n"/>
      <c r="N4" s="2" t="n"/>
    </row>
    <row r="5" ht="23" customHeight="1">
      <c r="A5" s="2" t="inlineStr">
        <is>
          <t>应收</t>
        </is>
      </c>
      <c r="B5" s="6">
        <f>IF(AND('控制台'!B4&lt;&gt;"",'控制台'!B5&lt;&gt;"",'控制台'!B4='刷新信息'!B6,'控制台'!B5='刷新信息'!B8),'经营统计'!B11,"")</f>
        <v/>
      </c>
      <c r="C5" s="6">
        <f>IF(AND('控制台'!B4&lt;&gt;"",'控制台'!B5&lt;&gt;"",'控制台'!B4='刷新信息'!B6,'控制台'!B5='刷新信息'!B8),SUMIFS('账龄输入'!H5:H504,'账龄输入'!C5:C504,A5,'账龄输入'!K5:K504,"纳入"),"")</f>
        <v/>
      </c>
      <c r="D5" s="6">
        <f>IF(AND('控制台'!B4&lt;&gt;"",'控制台'!B5&lt;&gt;"",'控制台'!B4='刷新信息'!B6,'控制台'!B5='刷新信息'!B8),B5-C5,"")</f>
        <v/>
      </c>
      <c r="E5" s="6">
        <f>IF(AND('控制台'!B4&lt;&gt;"",'控制台'!B5&lt;&gt;"",'控制台'!B4='刷新信息'!B6,'控制台'!B5='刷新信息'!B8),SUMIFS('账龄输入'!H5:H504,'账龄输入'!C5:C504,A5,'账龄输入'!K5:K504,"纳入",'账龄输入'!I5:I504,"&gt;=0",'账龄输入'!I5:I504,"&lt;=30"),"")</f>
        <v/>
      </c>
      <c r="F5" s="6">
        <f>IF(AND('控制台'!B4&lt;&gt;"",'控制台'!B5&lt;&gt;"",'控制台'!B4='刷新信息'!B6,'控制台'!B5='刷新信息'!B8),SUMIFS('账龄输入'!H5:H504,'账龄输入'!C5:C504,A5,'账龄输入'!K5:K504,"纳入",'账龄输入'!I5:I504,"&gt;=31",'账龄输入'!I5:I504,"&lt;=60"),"")</f>
        <v/>
      </c>
      <c r="G5" s="6">
        <f>IF(AND('控制台'!B4&lt;&gt;"",'控制台'!B5&lt;&gt;"",'控制台'!B4='刷新信息'!B6,'控制台'!B5='刷新信息'!B8),SUMIFS('账龄输入'!H5:H504,'账龄输入'!C5:C504,A5,'账龄输入'!K5:K504,"纳入",'账龄输入'!I5:I504,"&gt;=61",'账龄输入'!I5:I504,"&lt;=90"),"")</f>
        <v/>
      </c>
      <c r="H5" s="6">
        <f>IF(AND('控制台'!B4&lt;&gt;"",'控制台'!B5&lt;&gt;"",'控制台'!B4='刷新信息'!B6,'控制台'!B5='刷新信息'!B8),SUMIFS('账龄输入'!H5:H504,'账龄输入'!C5:C504,A5,'账龄输入'!K5:K504,"纳入",'账龄输入'!I5:I504,"&gt;=91",'账龄输入'!I5:I504,"&lt;=180"),"")</f>
        <v/>
      </c>
      <c r="I5" s="6">
        <f>IF(AND('控制台'!B4&lt;&gt;"",'控制台'!B5&lt;&gt;"",'控制台'!B4='刷新信息'!B6,'控制台'!B5='刷新信息'!B8),SUMIFS('账龄输入'!H5:H504,'账龄输入'!C5:C504,A5,'账龄输入'!K5:K504,"纳入",'账龄输入'!I5:I504,"&gt;=181",'账龄输入'!I5:I504,"&lt;=365"),"")</f>
        <v/>
      </c>
      <c r="J5" s="6">
        <f>IF(AND('控制台'!B4&lt;&gt;"",'控制台'!B5&lt;&gt;"",'控制台'!B4='刷新信息'!B6,'控制台'!B5='刷新信息'!B8),SUMIFS('账龄输入'!H5:H504,'账龄输入'!C5:C504,A5,'账龄输入'!K5:K504,"纳入",'账龄输入'!I5:I504,"&gt;=366",'账龄输入'!I5:I504,"&lt;=999999"),"")</f>
        <v/>
      </c>
      <c r="K5" s="6">
        <f>IF(AND('控制台'!B4&lt;&gt;"",'控制台'!B5&lt;&gt;"",'控制台'!B4='刷新信息'!B6,'控制台'!B5='刷新信息'!B8),SUMIFS('账龄输入'!H5:H504,'账龄输入'!C5:C504,A5,'账龄输入'!K5:K504,"纳入",'账龄输入'!J5:J504,"&gt;0"),"")</f>
        <v/>
      </c>
      <c r="L5" s="2" t="n"/>
      <c r="M5" s="2" t="n"/>
      <c r="N5" s="2" t="n"/>
    </row>
    <row r="6" ht="23" customHeight="1">
      <c r="A6" s="2" t="inlineStr">
        <is>
          <t>应付</t>
        </is>
      </c>
      <c r="B6" s="6">
        <f>IF(AND('控制台'!B4&lt;&gt;"",'控制台'!B5&lt;&gt;"",'控制台'!B4='刷新信息'!B6,'控制台'!B5='刷新信息'!B8),'经营统计'!B12,"")</f>
        <v/>
      </c>
      <c r="C6" s="6">
        <f>IF(AND('控制台'!B4&lt;&gt;"",'控制台'!B5&lt;&gt;"",'控制台'!B4='刷新信息'!B6,'控制台'!B5='刷新信息'!B8),SUMIFS('账龄输入'!H5:H504,'账龄输入'!C5:C504,A6,'账龄输入'!K5:K504,"纳入"),"")</f>
        <v/>
      </c>
      <c r="D6" s="6">
        <f>IF(AND('控制台'!B4&lt;&gt;"",'控制台'!B5&lt;&gt;"",'控制台'!B4='刷新信息'!B6,'控制台'!B5='刷新信息'!B8),B6-C6,"")</f>
        <v/>
      </c>
      <c r="E6" s="6">
        <f>IF(AND('控制台'!B4&lt;&gt;"",'控制台'!B5&lt;&gt;"",'控制台'!B4='刷新信息'!B6,'控制台'!B5='刷新信息'!B8),SUMIFS('账龄输入'!H5:H504,'账龄输入'!C5:C504,A6,'账龄输入'!K5:K504,"纳入",'账龄输入'!I5:I504,"&gt;=0",'账龄输入'!I5:I504,"&lt;=30"),"")</f>
        <v/>
      </c>
      <c r="F6" s="6">
        <f>IF(AND('控制台'!B4&lt;&gt;"",'控制台'!B5&lt;&gt;"",'控制台'!B4='刷新信息'!B6,'控制台'!B5='刷新信息'!B8),SUMIFS('账龄输入'!H5:H504,'账龄输入'!C5:C504,A6,'账龄输入'!K5:K504,"纳入",'账龄输入'!I5:I504,"&gt;=31",'账龄输入'!I5:I504,"&lt;=60"),"")</f>
        <v/>
      </c>
      <c r="G6" s="6">
        <f>IF(AND('控制台'!B4&lt;&gt;"",'控制台'!B5&lt;&gt;"",'控制台'!B4='刷新信息'!B6,'控制台'!B5='刷新信息'!B8),SUMIFS('账龄输入'!H5:H504,'账龄输入'!C5:C504,A6,'账龄输入'!K5:K504,"纳入",'账龄输入'!I5:I504,"&gt;=61",'账龄输入'!I5:I504,"&lt;=90"),"")</f>
        <v/>
      </c>
      <c r="H6" s="6">
        <f>IF(AND('控制台'!B4&lt;&gt;"",'控制台'!B5&lt;&gt;"",'控制台'!B4='刷新信息'!B6,'控制台'!B5='刷新信息'!B8),SUMIFS('账龄输入'!H5:H504,'账龄输入'!C5:C504,A6,'账龄输入'!K5:K504,"纳入",'账龄输入'!I5:I504,"&gt;=91",'账龄输入'!I5:I504,"&lt;=180"),"")</f>
        <v/>
      </c>
      <c r="I6" s="6">
        <f>IF(AND('控制台'!B4&lt;&gt;"",'控制台'!B5&lt;&gt;"",'控制台'!B4='刷新信息'!B6,'控制台'!B5='刷新信息'!B8),SUMIFS('账龄输入'!H5:H504,'账龄输入'!C5:C504,A6,'账龄输入'!K5:K504,"纳入",'账龄输入'!I5:I504,"&gt;=181",'账龄输入'!I5:I504,"&lt;=365"),"")</f>
        <v/>
      </c>
      <c r="J6" s="6">
        <f>IF(AND('控制台'!B4&lt;&gt;"",'控制台'!B5&lt;&gt;"",'控制台'!B4='刷新信息'!B6,'控制台'!B5='刷新信息'!B8),SUMIFS('账龄输入'!H5:H504,'账龄输入'!C5:C504,A6,'账龄输入'!K5:K504,"纳入",'账龄输入'!I5:I504,"&gt;=366",'账龄输入'!I5:I504,"&lt;=999999"),"")</f>
        <v/>
      </c>
      <c r="K6" s="6">
        <f>IF(AND('控制台'!B4&lt;&gt;"",'控制台'!B5&lt;&gt;"",'控制台'!B4='刷新信息'!B6,'控制台'!B5='刷新信息'!B8),SUMIFS('账龄输入'!H5:H504,'账龄输入'!C5:C504,A6,'账龄输入'!K5:K504,"纳入",'账龄输入'!J5:J504,"&gt;0"),"")</f>
        <v/>
      </c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inlineStr">
        <is>
          <t>未分配净额包括未录入单据及预收预付抵减；不等于已核销差异，也不等于逾期金额。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刷新信息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字段</t>
        </is>
      </c>
      <c r="B4" s="5" t="inlineStr">
        <is>
          <t>值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8" t="inlineStr">
        <is>
          <t>schema</t>
        </is>
      </c>
      <c r="B5" s="8" t="inlineStr">
        <is>
          <t>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8" t="inlineStr">
        <is>
          <t>company</t>
        </is>
      </c>
      <c r="B6" s="8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8" t="inlineStr">
        <is>
          <t>company_name</t>
        </is>
      </c>
      <c r="B7" s="8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8" t="inlineStr">
        <is>
          <t>month</t>
        </is>
      </c>
      <c r="B8" s="8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8" t="inlineStr">
        <is>
          <t>refreshed_at_utc</t>
        </is>
      </c>
      <c r="B9" s="8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可选公司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公司编号</t>
        </is>
      </c>
      <c r="B4" s="5" t="inlineStr">
        <is>
          <t>公司名称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8" t="n"/>
      <c r="B5" s="8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利润表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项目编码</t>
        </is>
      </c>
      <c r="B4" s="5" t="inlineStr">
        <is>
          <t>项目</t>
        </is>
      </c>
      <c r="C4" s="5" t="inlineStr">
        <is>
          <t>本月金额</t>
        </is>
      </c>
      <c r="D4" s="5" t="inlineStr">
        <is>
          <t>本年累计</t>
        </is>
      </c>
      <c r="E4" s="5" t="inlineStr">
        <is>
          <t>上年累计</t>
        </is>
      </c>
      <c r="F4" s="5" t="inlineStr">
        <is>
          <t>统计分类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8" t="n"/>
      <c r="B5" s="8" t="n"/>
      <c r="C5" s="6" t="n"/>
      <c r="D5" s="6" t="n"/>
      <c r="E5" s="6" t="n"/>
      <c r="F5" s="8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资产负债表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资产</t>
        </is>
      </c>
      <c r="B4" s="5" t="inlineStr">
        <is>
          <t>期末余额</t>
        </is>
      </c>
      <c r="C4" s="5" t="inlineStr">
        <is>
          <t>年初余额</t>
        </is>
      </c>
      <c r="D4" s="5" t="inlineStr">
        <is>
          <t>负债与权益</t>
        </is>
      </c>
      <c r="E4" s="5" t="inlineStr">
        <is>
          <t>期末余额</t>
        </is>
      </c>
      <c r="F4" s="5" t="inlineStr">
        <is>
          <t>年初余额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8" t="n"/>
      <c r="B5" s="6" t="n"/>
      <c r="C5" s="6" t="n"/>
      <c r="D5" s="8" t="n"/>
      <c r="E5" s="6" t="n"/>
      <c r="F5" s="6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现金流量表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区块</t>
        </is>
      </c>
      <c r="B4" s="5" t="inlineStr">
        <is>
          <t>项目编码</t>
        </is>
      </c>
      <c r="C4" s="5" t="inlineStr">
        <is>
          <t>项目</t>
        </is>
      </c>
      <c r="D4" s="5" t="inlineStr">
        <is>
          <t>balance</t>
        </is>
      </c>
      <c r="E4" s="5" t="inlineStr">
        <is>
          <t>curBalance</t>
        </is>
      </c>
      <c r="F4" s="5" t="inlineStr">
        <is>
          <t>preBalance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8" t="n"/>
      <c r="B5" s="8" t="n"/>
      <c r="C5" s="8" t="n"/>
      <c r="D5" s="6" t="n"/>
      <c r="E5" s="6" t="n"/>
      <c r="F5" s="6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科目余额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科目编码</t>
        </is>
      </c>
      <c r="B4" s="5" t="inlineStr">
        <is>
          <t>科目</t>
        </is>
      </c>
      <c r="C4" s="5" t="inlineStr">
        <is>
          <t>期初借方</t>
        </is>
      </c>
      <c r="D4" s="5" t="inlineStr">
        <is>
          <t>期初贷方</t>
        </is>
      </c>
      <c r="E4" s="5" t="inlineStr">
        <is>
          <t>本期借方</t>
        </is>
      </c>
      <c r="F4" s="5" t="inlineStr">
        <is>
          <t>本期贷方</t>
        </is>
      </c>
      <c r="G4" s="5" t="inlineStr">
        <is>
          <t>期末借方</t>
        </is>
      </c>
      <c r="H4" s="5" t="inlineStr">
        <is>
          <t>期末贷方</t>
        </is>
      </c>
      <c r="I4" s="5" t="inlineStr">
        <is>
          <t>末级</t>
        </is>
      </c>
      <c r="J4" s="2" t="n"/>
      <c r="K4" s="2" t="n"/>
      <c r="L4" s="2" t="n"/>
      <c r="M4" s="2" t="n"/>
      <c r="N4" s="2" t="n"/>
    </row>
    <row r="5" ht="23" customHeight="1">
      <c r="A5" s="8" t="n"/>
      <c r="B5" s="8" t="n"/>
      <c r="C5" s="6" t="n"/>
      <c r="D5" s="6" t="n"/>
      <c r="E5" s="6" t="n"/>
      <c r="F5" s="6" t="n"/>
      <c r="G5" s="6" t="n"/>
      <c r="H5" s="6" t="n"/>
      <c r="I5" s="6" t="n"/>
      <c r="J5" s="2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凭证明细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凭证ID</t>
        </is>
      </c>
      <c r="B4" s="5" t="inlineStr">
        <is>
          <t>分录序号</t>
        </is>
      </c>
      <c r="C4" s="5" t="inlineStr">
        <is>
          <t>日期</t>
        </is>
      </c>
      <c r="D4" s="5" t="inlineStr">
        <is>
          <t>凭证号</t>
        </is>
      </c>
      <c r="E4" s="5" t="inlineStr">
        <is>
          <t>科目编码</t>
        </is>
      </c>
      <c r="F4" s="5" t="inlineStr">
        <is>
          <t>科目名称</t>
        </is>
      </c>
      <c r="G4" s="5" t="inlineStr">
        <is>
          <t>辅助项目</t>
        </is>
      </c>
      <c r="H4" s="5" t="inlineStr">
        <is>
          <t>摘要</t>
        </is>
      </c>
      <c r="I4" s="5" t="inlineStr">
        <is>
          <t>借方</t>
        </is>
      </c>
      <c r="J4" s="5" t="inlineStr">
        <is>
          <t>贷方</t>
        </is>
      </c>
      <c r="K4" s="5" t="inlineStr">
        <is>
          <t>币种</t>
        </is>
      </c>
      <c r="L4" s="5" t="inlineStr">
        <is>
          <t>原币金额</t>
        </is>
      </c>
      <c r="M4" s="5" t="inlineStr">
        <is>
          <t>收支类型</t>
        </is>
      </c>
      <c r="N4" s="2" t="n"/>
    </row>
    <row r="5" ht="23" customHeight="1">
      <c r="A5" s="8" t="n"/>
      <c r="B5" s="6" t="n"/>
      <c r="C5" s="20" t="n"/>
      <c r="D5" s="8" t="n"/>
      <c r="E5" s="8" t="n"/>
      <c r="F5" s="8" t="n"/>
      <c r="G5" s="8" t="n"/>
      <c r="H5" s="8" t="n"/>
      <c r="I5" s="6" t="n"/>
      <c r="J5" s="6" t="n"/>
      <c r="K5" s="8" t="n"/>
      <c r="L5" s="6" t="n"/>
      <c r="M5" s="8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出纳账（总账口径）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凭证ID</t>
        </is>
      </c>
      <c r="B4" s="5" t="inlineStr">
        <is>
          <t>分录序号</t>
        </is>
      </c>
      <c r="C4" s="5" t="inlineStr">
        <is>
          <t>日期</t>
        </is>
      </c>
      <c r="D4" s="5" t="inlineStr">
        <is>
          <t>凭证号</t>
        </is>
      </c>
      <c r="E4" s="5" t="inlineStr">
        <is>
          <t>科目编码</t>
        </is>
      </c>
      <c r="F4" s="5" t="inlineStr">
        <is>
          <t>科目名称</t>
        </is>
      </c>
      <c r="G4" s="5" t="inlineStr">
        <is>
          <t>辅助项目</t>
        </is>
      </c>
      <c r="H4" s="5" t="inlineStr">
        <is>
          <t>摘要</t>
        </is>
      </c>
      <c r="I4" s="5" t="inlineStr">
        <is>
          <t>借方</t>
        </is>
      </c>
      <c r="J4" s="5" t="inlineStr">
        <is>
          <t>贷方</t>
        </is>
      </c>
      <c r="K4" s="5" t="inlineStr">
        <is>
          <t>币种</t>
        </is>
      </c>
      <c r="L4" s="5" t="inlineStr">
        <is>
          <t>原币金额</t>
        </is>
      </c>
      <c r="M4" s="5" t="inlineStr">
        <is>
          <t>收支类型</t>
        </is>
      </c>
      <c r="N4" s="2" t="n"/>
    </row>
    <row r="5" ht="23" customHeight="1">
      <c r="A5" s="8" t="n"/>
      <c r="B5" s="6" t="n"/>
      <c r="C5" s="20" t="n"/>
      <c r="D5" s="8" t="n"/>
      <c r="E5" s="8" t="n"/>
      <c r="F5" s="8" t="n"/>
      <c r="G5" s="8" t="n"/>
      <c r="H5" s="8" t="n"/>
      <c r="I5" s="6" t="n"/>
      <c r="J5" s="6" t="n"/>
      <c r="K5" s="8" t="n"/>
      <c r="L5" s="6" t="n"/>
      <c r="M5" s="8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18" customWidth="1" min="3" max="3"/>
    <col width="4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往来余额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类型</t>
        </is>
      </c>
      <c r="B4" s="5" t="inlineStr">
        <is>
          <t>核算项目ID组合</t>
        </is>
      </c>
      <c r="C4" s="5" t="inlineStr">
        <is>
          <t>编码</t>
        </is>
      </c>
      <c r="D4" s="5" t="inlineStr">
        <is>
          <t>名称</t>
        </is>
      </c>
      <c r="E4" s="5" t="inlineStr">
        <is>
          <t>期初借方</t>
        </is>
      </c>
      <c r="F4" s="5" t="inlineStr">
        <is>
          <t>期初贷方</t>
        </is>
      </c>
      <c r="G4" s="5" t="inlineStr">
        <is>
          <t>本期借方</t>
        </is>
      </c>
      <c r="H4" s="5" t="inlineStr">
        <is>
          <t>本期贷方</t>
        </is>
      </c>
      <c r="I4" s="5" t="inlineStr">
        <is>
          <t>期末借方</t>
        </is>
      </c>
      <c r="J4" s="5" t="inlineStr">
        <is>
          <t>期末贷方</t>
        </is>
      </c>
      <c r="K4" s="2" t="n"/>
      <c r="L4" s="2" t="n"/>
      <c r="M4" s="2" t="n"/>
      <c r="N4" s="2" t="n"/>
    </row>
    <row r="5" ht="23" customHeight="1">
      <c r="A5" s="8" t="n"/>
      <c r="B5" s="8" t="n"/>
      <c r="C5" s="8" t="n"/>
      <c r="D5" s="8" t="n"/>
      <c r="E5" s="6" t="n"/>
      <c r="F5" s="6" t="n"/>
      <c r="G5" s="6" t="n"/>
      <c r="H5" s="6" t="n"/>
      <c r="I5" s="6" t="n"/>
      <c r="J5" s="6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利润月度明细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尚未读取数据；请先配置刷新连接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月份</t>
        </is>
      </c>
      <c r="B4" s="5" t="inlineStr">
        <is>
          <t>项目编码</t>
        </is>
      </c>
      <c r="C4" s="5" t="inlineStr">
        <is>
          <t>项目</t>
        </is>
      </c>
      <c r="D4" s="5" t="inlineStr">
        <is>
          <t>本月金额</t>
        </is>
      </c>
      <c r="E4" s="5" t="inlineStr">
        <is>
          <t>统计分类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3" customHeight="1">
      <c r="A5" s="8" t="n"/>
      <c r="B5" s="8" t="n"/>
      <c r="C5" s="8" t="n"/>
      <c r="D5" s="6" t="n"/>
      <c r="E5" s="8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3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3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3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3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3" customHeight="1">
      <c r="A1" s="1" t="inlineStr">
        <is>
          <t>使用说明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3" customHeight="1">
      <c r="A2" s="2" t="inlineStr">
        <is>
          <t>一次性安装按钮后，日常只需选择公司、月份并刷新。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3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5" t="inlineStr">
        <is>
          <t>事项</t>
        </is>
      </c>
      <c r="B4" s="5" t="inlineStr">
        <is>
          <t>说明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42" customHeight="1">
      <c r="A5" s="2" t="inlineStr">
        <is>
          <t>连接</t>
        </is>
      </c>
      <c r="B5" s="21" t="inlineStr">
        <is>
          <t>Windows 通过 SSH 转发连接 Linux 的只读服务；账无忧会话只保存在后台。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42" customHeight="1">
      <c r="A6" s="2" t="inlineStr">
        <is>
          <t>首次安装</t>
        </is>
      </c>
      <c r="B6" s="21" t="inlineStr">
        <is>
          <t>运行 scripts/finance/install-excel.ps1，将此 .xlsx 转为 .xlsm 并加入刷新按钮。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42" customHeight="1">
      <c r="A7" s="2" t="inlineStr">
        <is>
          <t>输入保护</t>
        </is>
      </c>
      <c r="B7" s="21" t="inlineStr">
        <is>
          <t>刷新只替换原始数据表；预算输入、账龄输入及其公式不会被覆盖。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42" customHeight="1">
      <c r="A8" s="2" t="inlineStr">
        <is>
          <t>容量</t>
        </is>
      </c>
      <c r="B8" s="21" t="inlineStr">
        <is>
          <t>每张接口表最多 6000 行；预算输入 200 行、账龄输入 500 行。超限需要扩展公式。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42" customHeight="1">
      <c r="A9" s="2" t="inlineStr">
        <is>
          <t>账龄</t>
        </is>
      </c>
      <c r="B9" s="21" t="inlineStr">
        <is>
          <t>当前未接入单据核销与到期日接口；人工补充未核销单据后计算，不伪造自动账龄。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42" customHeight="1">
      <c r="A10" s="2" t="inlineStr">
        <is>
          <t>出纳</t>
        </is>
      </c>
      <c r="B10" s="21" t="inlineStr">
        <is>
          <t>总账1001/1002科目；仅现金银行科目之间的凭证识别为内部划转。复合凭证仍需复核。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42" customHeight="1">
      <c r="A11" s="2" t="inlineStr">
        <is>
          <t>利润口径</t>
        </is>
      </c>
      <c r="B11" s="21" t="inlineStr">
        <is>
          <t>利润表本月balance、本年累计curBalance、上年累计preBalance；以账无忧报表为准。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42" customHeight="1">
      <c r="A12" s="2" t="inlineStr">
        <is>
          <t>现金流字段</t>
        </is>
      </c>
      <c r="B12" s="21" t="inlineStr">
        <is>
          <t>保留原接口字段名，字段期间口径需对照账套现金流量表；不将未知字段重命名。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42" customHeight="1">
      <c r="A13" s="2" t="inlineStr">
        <is>
          <t>异常</t>
        </is>
      </c>
      <c r="B13" s="21" t="inlineStr">
        <is>
          <t>失败时保留旧数据；更换选择但未刷新时统计页留空；原系统校验信息在刷新信息中。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42" customHeight="1">
      <c r="A14" s="2" t="inlineStr">
        <is>
          <t>参考结构</t>
        </is>
      </c>
      <c r="B14" s="21" t="inlineStr">
        <is>
          <t>https://www.vertex42.com/ExcelTemplates/financial-statements.html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42" customHeight="1">
      <c r="A15" s="2" t="inlineStr">
        <is>
          <t>参考范围</t>
        </is>
      </c>
      <c r="B15" s="21" t="inlineStr">
        <is>
          <t>https://www.smartsheet.com/content/free-business-templates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2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2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2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2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2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2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2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2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2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2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2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2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2026-09-19T08:45:41Z</dcterms:created>
  <dcterms:modified xsi:type="dcterms:W3CDTF">2026-09-19T08:45:41Z</dcterms:modified>
</cp:coreProperties>
</file>